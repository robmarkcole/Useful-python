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3250" windowHeight="12075" firstSheet="2" activeTab="5"/>
  </bookViews>
  <sheets>
    <sheet name="6X PDD" sheetId="1" r:id="rId1"/>
    <sheet name="6X TPRs" sheetId="2" r:id="rId2"/>
    <sheet name="TPR from PDD basic" sheetId="3" r:id="rId3"/>
    <sheet name="NPSF" sheetId="8" r:id="rId4"/>
    <sheet name="6X_PDD_RC" sheetId="9" r:id="rId5"/>
    <sheet name="TPR_from_PDD_final" sheetId="10" r:id="rId6"/>
  </sheets>
  <functionGroups builtInGroupCount="17"/>
  <externalReferences>
    <externalReference r:id="rId7"/>
  </externalReferences>
  <definedNames>
    <definedName name="dr">TPR_from_PDD_final!$R$1</definedName>
  </definedNames>
  <calcPr calcId="145621"/>
</workbook>
</file>

<file path=xl/calcChain.xml><?xml version="1.0" encoding="utf-8"?>
<calcChain xmlns="http://schemas.openxmlformats.org/spreadsheetml/2006/main">
  <c r="S4" i="9" l="1"/>
  <c r="R29" i="10"/>
  <c r="C352" i="10"/>
  <c r="D352" i="10"/>
  <c r="E352" i="10"/>
  <c r="F352" i="10"/>
  <c r="G352" i="10"/>
  <c r="H352" i="10"/>
  <c r="I352" i="10"/>
  <c r="J352" i="10"/>
  <c r="K352" i="10"/>
  <c r="L352" i="10"/>
  <c r="M352" i="10"/>
  <c r="N352" i="10"/>
  <c r="O352" i="10"/>
  <c r="C353" i="9"/>
  <c r="D353" i="9"/>
  <c r="E353" i="9"/>
  <c r="F353" i="9"/>
  <c r="G353" i="9"/>
  <c r="H353" i="9"/>
  <c r="I353" i="9"/>
  <c r="J353" i="9"/>
  <c r="K353" i="9"/>
  <c r="L353" i="9"/>
  <c r="M353" i="9"/>
  <c r="N353" i="9"/>
  <c r="O353" i="9"/>
  <c r="P353" i="9"/>
  <c r="B353" i="9"/>
  <c r="G22" i="8"/>
  <c r="T32" i="10"/>
  <c r="T29" i="10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2" i="9"/>
  <c r="R28" i="10"/>
  <c r="G21" i="8"/>
  <c r="G20" i="8"/>
  <c r="G19" i="8"/>
  <c r="B352" i="10"/>
  <c r="B3" i="10"/>
  <c r="B7" i="10"/>
  <c r="B11" i="10"/>
  <c r="B15" i="10"/>
  <c r="B19" i="10"/>
  <c r="B23" i="10"/>
  <c r="B27" i="10"/>
  <c r="B31" i="10"/>
  <c r="B35" i="10"/>
  <c r="B39" i="10"/>
  <c r="B43" i="10"/>
  <c r="B47" i="10"/>
  <c r="B51" i="10"/>
  <c r="B55" i="10"/>
  <c r="B59" i="10"/>
  <c r="B63" i="10"/>
  <c r="B67" i="10"/>
  <c r="B71" i="10"/>
  <c r="B75" i="10"/>
  <c r="B79" i="10"/>
  <c r="B83" i="10"/>
  <c r="B87" i="10"/>
  <c r="B91" i="10"/>
  <c r="B95" i="10"/>
  <c r="B99" i="10"/>
  <c r="B103" i="10"/>
  <c r="B107" i="10"/>
  <c r="B111" i="10"/>
  <c r="B115" i="10"/>
  <c r="B119" i="10"/>
  <c r="B123" i="10"/>
  <c r="B127" i="10"/>
  <c r="B131" i="10"/>
  <c r="B135" i="10"/>
  <c r="B139" i="10"/>
  <c r="B143" i="10"/>
  <c r="B147" i="10"/>
  <c r="B151" i="10"/>
  <c r="B155" i="10"/>
  <c r="B159" i="10"/>
  <c r="B163" i="10"/>
  <c r="B167" i="10"/>
  <c r="B171" i="10"/>
  <c r="B175" i="10"/>
  <c r="B179" i="10"/>
  <c r="B183" i="10"/>
  <c r="B187" i="10"/>
  <c r="B191" i="10"/>
  <c r="B195" i="10"/>
  <c r="B199" i="10"/>
  <c r="B203" i="10"/>
  <c r="B207" i="10"/>
  <c r="B211" i="10"/>
  <c r="B215" i="10"/>
  <c r="B219" i="10"/>
  <c r="B223" i="10"/>
  <c r="B227" i="10"/>
  <c r="B231" i="10"/>
  <c r="B235" i="10"/>
  <c r="B239" i="10"/>
  <c r="B243" i="10"/>
  <c r="B247" i="10"/>
  <c r="B251" i="10"/>
  <c r="B255" i="10"/>
  <c r="B259" i="10"/>
  <c r="B263" i="10"/>
  <c r="B267" i="10"/>
  <c r="B271" i="10"/>
  <c r="B275" i="10"/>
  <c r="B279" i="10"/>
  <c r="B283" i="10"/>
  <c r="B287" i="10"/>
  <c r="B291" i="10"/>
  <c r="B295" i="10"/>
  <c r="B299" i="10"/>
  <c r="B303" i="10"/>
  <c r="B307" i="10"/>
  <c r="B311" i="10"/>
  <c r="B315" i="10"/>
  <c r="B319" i="10"/>
  <c r="B323" i="10"/>
  <c r="B327" i="10"/>
  <c r="B331" i="10"/>
  <c r="B335" i="10"/>
  <c r="B339" i="10"/>
  <c r="B343" i="10"/>
  <c r="B347" i="10"/>
  <c r="B351" i="10"/>
  <c r="B25" i="10"/>
  <c r="B57" i="10"/>
  <c r="B65" i="10"/>
  <c r="B73" i="10"/>
  <c r="B81" i="10"/>
  <c r="B89" i="10"/>
  <c r="B97" i="10"/>
  <c r="B105" i="10"/>
  <c r="B113" i="10"/>
  <c r="B121" i="10"/>
  <c r="B129" i="10"/>
  <c r="B137" i="10"/>
  <c r="B145" i="10"/>
  <c r="B153" i="10"/>
  <c r="B161" i="10"/>
  <c r="B169" i="10"/>
  <c r="B177" i="10"/>
  <c r="B185" i="10"/>
  <c r="B193" i="10"/>
  <c r="B201" i="10"/>
  <c r="B209" i="10"/>
  <c r="B217" i="10"/>
  <c r="B225" i="10"/>
  <c r="B233" i="10"/>
  <c r="B241" i="10"/>
  <c r="B249" i="10"/>
  <c r="B257" i="10"/>
  <c r="B265" i="10"/>
  <c r="B4" i="10"/>
  <c r="B8" i="10"/>
  <c r="B12" i="10"/>
  <c r="B16" i="10"/>
  <c r="B20" i="10"/>
  <c r="B24" i="10"/>
  <c r="B28" i="10"/>
  <c r="B32" i="10"/>
  <c r="B36" i="10"/>
  <c r="B40" i="10"/>
  <c r="B44" i="10"/>
  <c r="B48" i="10"/>
  <c r="B52" i="10"/>
  <c r="B56" i="10"/>
  <c r="B60" i="10"/>
  <c r="B64" i="10"/>
  <c r="B68" i="10"/>
  <c r="B72" i="10"/>
  <c r="B76" i="10"/>
  <c r="B80" i="10"/>
  <c r="B84" i="10"/>
  <c r="B88" i="10"/>
  <c r="B92" i="10"/>
  <c r="B96" i="10"/>
  <c r="B100" i="10"/>
  <c r="B104" i="10"/>
  <c r="B108" i="10"/>
  <c r="B112" i="10"/>
  <c r="B116" i="10"/>
  <c r="B120" i="10"/>
  <c r="B124" i="10"/>
  <c r="B128" i="10"/>
  <c r="B132" i="10"/>
  <c r="B136" i="10"/>
  <c r="B140" i="10"/>
  <c r="B144" i="10"/>
  <c r="B148" i="10"/>
  <c r="B152" i="10"/>
  <c r="B156" i="10"/>
  <c r="B160" i="10"/>
  <c r="B164" i="10"/>
  <c r="B168" i="10"/>
  <c r="B172" i="10"/>
  <c r="B176" i="10"/>
  <c r="B180" i="10"/>
  <c r="B184" i="10"/>
  <c r="B188" i="10"/>
  <c r="B192" i="10"/>
  <c r="B196" i="10"/>
  <c r="B200" i="10"/>
  <c r="B204" i="10"/>
  <c r="B208" i="10"/>
  <c r="B212" i="10"/>
  <c r="B216" i="10"/>
  <c r="B220" i="10"/>
  <c r="B224" i="10"/>
  <c r="B228" i="10"/>
  <c r="B232" i="10"/>
  <c r="B236" i="10"/>
  <c r="B240" i="10"/>
  <c r="B244" i="10"/>
  <c r="B248" i="10"/>
  <c r="B252" i="10"/>
  <c r="B256" i="10"/>
  <c r="B260" i="10"/>
  <c r="B264" i="10"/>
  <c r="B268" i="10"/>
  <c r="B272" i="10"/>
  <c r="B276" i="10"/>
  <c r="B280" i="10"/>
  <c r="B284" i="10"/>
  <c r="B288" i="10"/>
  <c r="B292" i="10"/>
  <c r="B296" i="10"/>
  <c r="B300" i="10"/>
  <c r="B304" i="10"/>
  <c r="B308" i="10"/>
  <c r="B312" i="10"/>
  <c r="B316" i="10"/>
  <c r="B320" i="10"/>
  <c r="B324" i="10"/>
  <c r="B328" i="10"/>
  <c r="B332" i="10"/>
  <c r="B336" i="10"/>
  <c r="B340" i="10"/>
  <c r="B344" i="10"/>
  <c r="B348" i="10"/>
  <c r="B5" i="10"/>
  <c r="B9" i="10"/>
  <c r="B13" i="10"/>
  <c r="B17" i="10"/>
  <c r="B21" i="10"/>
  <c r="B29" i="10"/>
  <c r="B33" i="10"/>
  <c r="B37" i="10"/>
  <c r="B41" i="10"/>
  <c r="B45" i="10"/>
  <c r="B49" i="10"/>
  <c r="B53" i="10"/>
  <c r="B61" i="10"/>
  <c r="B69" i="10"/>
  <c r="B77" i="10"/>
  <c r="B85" i="10"/>
  <c r="B93" i="10"/>
  <c r="B101" i="10"/>
  <c r="B109" i="10"/>
  <c r="B117" i="10"/>
  <c r="B125" i="10"/>
  <c r="B133" i="10"/>
  <c r="B141" i="10"/>
  <c r="B149" i="10"/>
  <c r="B157" i="10"/>
  <c r="B165" i="10"/>
  <c r="B173" i="10"/>
  <c r="B181" i="10"/>
  <c r="B189" i="10"/>
  <c r="B197" i="10"/>
  <c r="B205" i="10"/>
  <c r="B213" i="10"/>
  <c r="B221" i="10"/>
  <c r="B229" i="10"/>
  <c r="B237" i="10"/>
  <c r="B245" i="10"/>
  <c r="B253" i="10"/>
  <c r="B261" i="10"/>
  <c r="B269" i="10"/>
  <c r="B6" i="10"/>
  <c r="B22" i="10"/>
  <c r="B38" i="10"/>
  <c r="B54" i="10"/>
  <c r="B70" i="10"/>
  <c r="B86" i="10"/>
  <c r="B102" i="10"/>
  <c r="B118" i="10"/>
  <c r="B134" i="10"/>
  <c r="B150" i="10"/>
  <c r="B166" i="10"/>
  <c r="B182" i="10"/>
  <c r="B198" i="10"/>
  <c r="B214" i="10"/>
  <c r="B230" i="10"/>
  <c r="B246" i="10"/>
  <c r="B262" i="10"/>
  <c r="B274" i="10"/>
  <c r="B282" i="10"/>
  <c r="B290" i="10"/>
  <c r="B298" i="10"/>
  <c r="B306" i="10"/>
  <c r="B314" i="10"/>
  <c r="B322" i="10"/>
  <c r="B330" i="10"/>
  <c r="B338" i="10"/>
  <c r="B346" i="10"/>
  <c r="B286" i="10"/>
  <c r="B326" i="10"/>
  <c r="B342" i="10"/>
  <c r="B18" i="10"/>
  <c r="B82" i="10"/>
  <c r="B114" i="10"/>
  <c r="B146" i="10"/>
  <c r="B178" i="10"/>
  <c r="B210" i="10"/>
  <c r="B242" i="10"/>
  <c r="B281" i="10"/>
  <c r="B297" i="10"/>
  <c r="B313" i="10"/>
  <c r="B329" i="10"/>
  <c r="B345" i="10"/>
  <c r="B10" i="10"/>
  <c r="B26" i="10"/>
  <c r="B42" i="10"/>
  <c r="B58" i="10"/>
  <c r="B74" i="10"/>
  <c r="B90" i="10"/>
  <c r="B106" i="10"/>
  <c r="B122" i="10"/>
  <c r="B138" i="10"/>
  <c r="B154" i="10"/>
  <c r="B170" i="10"/>
  <c r="B186" i="10"/>
  <c r="B202" i="10"/>
  <c r="B218" i="10"/>
  <c r="B234" i="10"/>
  <c r="B250" i="10"/>
  <c r="B266" i="10"/>
  <c r="B277" i="10"/>
  <c r="B285" i="10"/>
  <c r="B293" i="10"/>
  <c r="B301" i="10"/>
  <c r="B309" i="10"/>
  <c r="B317" i="10"/>
  <c r="B325" i="10"/>
  <c r="B333" i="10"/>
  <c r="B341" i="10"/>
  <c r="B349" i="10"/>
  <c r="B14" i="10"/>
  <c r="B30" i="10"/>
  <c r="B46" i="10"/>
  <c r="B62" i="10"/>
  <c r="B78" i="10"/>
  <c r="B94" i="10"/>
  <c r="B110" i="10"/>
  <c r="B126" i="10"/>
  <c r="B142" i="10"/>
  <c r="B158" i="10"/>
  <c r="B174" i="10"/>
  <c r="B190" i="10"/>
  <c r="B206" i="10"/>
  <c r="B222" i="10"/>
  <c r="B238" i="10"/>
  <c r="B254" i="10"/>
  <c r="B270" i="10"/>
  <c r="B278" i="10"/>
  <c r="B294" i="10"/>
  <c r="B302" i="10"/>
  <c r="B310" i="10"/>
  <c r="B318" i="10"/>
  <c r="B334" i="10"/>
  <c r="B350" i="10"/>
  <c r="B34" i="10"/>
  <c r="B50" i="10"/>
  <c r="B66" i="10"/>
  <c r="B98" i="10"/>
  <c r="B130" i="10"/>
  <c r="B162" i="10"/>
  <c r="B194" i="10"/>
  <c r="B226" i="10"/>
  <c r="B258" i="10"/>
  <c r="B273" i="10"/>
  <c r="B289" i="10"/>
  <c r="B305" i="10"/>
  <c r="B321" i="10"/>
  <c r="B337" i="10"/>
  <c r="B2" i="10"/>
  <c r="R32" i="10"/>
  <c r="R31" i="10"/>
  <c r="R30" i="10"/>
  <c r="R27" i="10"/>
  <c r="C3" i="10"/>
  <c r="C7" i="10"/>
  <c r="C11" i="10"/>
  <c r="C15" i="10"/>
  <c r="C19" i="10"/>
  <c r="C23" i="10"/>
  <c r="C27" i="10"/>
  <c r="C31" i="10"/>
  <c r="C35" i="10"/>
  <c r="C39" i="10"/>
  <c r="C43" i="10"/>
  <c r="C47" i="10"/>
  <c r="C51" i="10"/>
  <c r="C55" i="10"/>
  <c r="C59" i="10"/>
  <c r="C63" i="10"/>
  <c r="C67" i="10"/>
  <c r="C71" i="10"/>
  <c r="C75" i="10"/>
  <c r="C79" i="10"/>
  <c r="C83" i="10"/>
  <c r="C87" i="10"/>
  <c r="C91" i="10"/>
  <c r="C95" i="10"/>
  <c r="C99" i="10"/>
  <c r="C103" i="10"/>
  <c r="C107" i="10"/>
  <c r="C111" i="10"/>
  <c r="C115" i="10"/>
  <c r="C119" i="10"/>
  <c r="C123" i="10"/>
  <c r="C127" i="10"/>
  <c r="C131" i="10"/>
  <c r="C135" i="10"/>
  <c r="C139" i="10"/>
  <c r="C143" i="10"/>
  <c r="C147" i="10"/>
  <c r="C151" i="10"/>
  <c r="C155" i="10"/>
  <c r="C159" i="10"/>
  <c r="C163" i="10"/>
  <c r="C167" i="10"/>
  <c r="C171" i="10"/>
  <c r="C175" i="10"/>
  <c r="C179" i="10"/>
  <c r="C183" i="10"/>
  <c r="C187" i="10"/>
  <c r="C191" i="10"/>
  <c r="C195" i="10"/>
  <c r="C199" i="10"/>
  <c r="C203" i="10"/>
  <c r="C207" i="10"/>
  <c r="C211" i="10"/>
  <c r="C215" i="10"/>
  <c r="C219" i="10"/>
  <c r="C223" i="10"/>
  <c r="C227" i="10"/>
  <c r="C231" i="10"/>
  <c r="C235" i="10"/>
  <c r="C239" i="10"/>
  <c r="C243" i="10"/>
  <c r="C247" i="10"/>
  <c r="C251" i="10"/>
  <c r="C255" i="10"/>
  <c r="C259" i="10"/>
  <c r="C263" i="10"/>
  <c r="C267" i="10"/>
  <c r="C271" i="10"/>
  <c r="C275" i="10"/>
  <c r="C279" i="10"/>
  <c r="C283" i="10"/>
  <c r="C287" i="10"/>
  <c r="C291" i="10"/>
  <c r="C295" i="10"/>
  <c r="C299" i="10"/>
  <c r="C303" i="10"/>
  <c r="C307" i="10"/>
  <c r="C311" i="10"/>
  <c r="C315" i="10"/>
  <c r="C319" i="10"/>
  <c r="C323" i="10"/>
  <c r="C327" i="10"/>
  <c r="C331" i="10"/>
  <c r="C335" i="10"/>
  <c r="C339" i="10"/>
  <c r="C343" i="10"/>
  <c r="C347" i="10"/>
  <c r="C351" i="10"/>
  <c r="C37" i="10"/>
  <c r="C57" i="10"/>
  <c r="C65" i="10"/>
  <c r="C73" i="10"/>
  <c r="C81" i="10"/>
  <c r="C89" i="10"/>
  <c r="C97" i="10"/>
  <c r="C105" i="10"/>
  <c r="C113" i="10"/>
  <c r="C121" i="10"/>
  <c r="C129" i="10"/>
  <c r="C137" i="10"/>
  <c r="C145" i="10"/>
  <c r="C153" i="10"/>
  <c r="C165" i="10"/>
  <c r="C173" i="10"/>
  <c r="C181" i="10"/>
  <c r="C189" i="10"/>
  <c r="C197" i="10"/>
  <c r="C205" i="10"/>
  <c r="C213" i="10"/>
  <c r="C221" i="10"/>
  <c r="C229" i="10"/>
  <c r="C237" i="10"/>
  <c r="C245" i="10"/>
  <c r="C253" i="10"/>
  <c r="C261" i="10"/>
  <c r="C269" i="10"/>
  <c r="C4" i="10"/>
  <c r="C8" i="10"/>
  <c r="C12" i="10"/>
  <c r="C16" i="10"/>
  <c r="C20" i="10"/>
  <c r="C24" i="10"/>
  <c r="C28" i="10"/>
  <c r="C32" i="10"/>
  <c r="C36" i="10"/>
  <c r="C40" i="10"/>
  <c r="C44" i="10"/>
  <c r="C48" i="10"/>
  <c r="C52" i="10"/>
  <c r="C56" i="10"/>
  <c r="C60" i="10"/>
  <c r="C64" i="10"/>
  <c r="C68" i="10"/>
  <c r="C72" i="10"/>
  <c r="C76" i="10"/>
  <c r="C80" i="10"/>
  <c r="C84" i="10"/>
  <c r="C88" i="10"/>
  <c r="C92" i="10"/>
  <c r="C96" i="10"/>
  <c r="C100" i="10"/>
  <c r="C104" i="10"/>
  <c r="C108" i="10"/>
  <c r="C112" i="10"/>
  <c r="C116" i="10"/>
  <c r="C120" i="10"/>
  <c r="C124" i="10"/>
  <c r="C128" i="10"/>
  <c r="C132" i="10"/>
  <c r="C136" i="10"/>
  <c r="C140" i="10"/>
  <c r="C144" i="10"/>
  <c r="C148" i="10"/>
  <c r="C152" i="10"/>
  <c r="C156" i="10"/>
  <c r="C160" i="10"/>
  <c r="C164" i="10"/>
  <c r="C168" i="10"/>
  <c r="C172" i="10"/>
  <c r="C176" i="10"/>
  <c r="C180" i="10"/>
  <c r="C184" i="10"/>
  <c r="C188" i="10"/>
  <c r="C192" i="10"/>
  <c r="C196" i="10"/>
  <c r="C200" i="10"/>
  <c r="C204" i="10"/>
  <c r="C208" i="10"/>
  <c r="C212" i="10"/>
  <c r="C216" i="10"/>
  <c r="C220" i="10"/>
  <c r="C224" i="10"/>
  <c r="C228" i="10"/>
  <c r="C232" i="10"/>
  <c r="C236" i="10"/>
  <c r="C240" i="10"/>
  <c r="C244" i="10"/>
  <c r="C248" i="10"/>
  <c r="C252" i="10"/>
  <c r="C256" i="10"/>
  <c r="C260" i="10"/>
  <c r="C264" i="10"/>
  <c r="C268" i="10"/>
  <c r="C272" i="10"/>
  <c r="C276" i="10"/>
  <c r="C280" i="10"/>
  <c r="C284" i="10"/>
  <c r="C288" i="10"/>
  <c r="C292" i="10"/>
  <c r="C296" i="10"/>
  <c r="C300" i="10"/>
  <c r="C304" i="10"/>
  <c r="C308" i="10"/>
  <c r="C312" i="10"/>
  <c r="C316" i="10"/>
  <c r="C320" i="10"/>
  <c r="C324" i="10"/>
  <c r="C328" i="10"/>
  <c r="C332" i="10"/>
  <c r="C336" i="10"/>
  <c r="C340" i="10"/>
  <c r="C344" i="10"/>
  <c r="C348" i="10"/>
  <c r="C5" i="10"/>
  <c r="C9" i="10"/>
  <c r="C13" i="10"/>
  <c r="C17" i="10"/>
  <c r="C21" i="10"/>
  <c r="C25" i="10"/>
  <c r="C29" i="10"/>
  <c r="C33" i="10"/>
  <c r="C41" i="10"/>
  <c r="C45" i="10"/>
  <c r="C49" i="10"/>
  <c r="C53" i="10"/>
  <c r="C61" i="10"/>
  <c r="C69" i="10"/>
  <c r="C77" i="10"/>
  <c r="C85" i="10"/>
  <c r="C93" i="10"/>
  <c r="C101" i="10"/>
  <c r="C109" i="10"/>
  <c r="C117" i="10"/>
  <c r="C125" i="10"/>
  <c r="C133" i="10"/>
  <c r="C141" i="10"/>
  <c r="C149" i="10"/>
  <c r="C157" i="10"/>
  <c r="C161" i="10"/>
  <c r="C169" i="10"/>
  <c r="C177" i="10"/>
  <c r="C185" i="10"/>
  <c r="C193" i="10"/>
  <c r="C201" i="10"/>
  <c r="C209" i="10"/>
  <c r="C217" i="10"/>
  <c r="C225" i="10"/>
  <c r="C233" i="10"/>
  <c r="C241" i="10"/>
  <c r="C249" i="10"/>
  <c r="C257" i="10"/>
  <c r="C265" i="10"/>
  <c r="C6" i="10"/>
  <c r="C22" i="10"/>
  <c r="C38" i="10"/>
  <c r="C54" i="10"/>
  <c r="C70" i="10"/>
  <c r="C86" i="10"/>
  <c r="C102" i="10"/>
  <c r="C118" i="10"/>
  <c r="C134" i="10"/>
  <c r="C150" i="10"/>
  <c r="C166" i="10"/>
  <c r="C182" i="10"/>
  <c r="C198" i="10"/>
  <c r="C214" i="10"/>
  <c r="C230" i="10"/>
  <c r="C246" i="10"/>
  <c r="C262" i="10"/>
  <c r="C274" i="10"/>
  <c r="C282" i="10"/>
  <c r="C290" i="10"/>
  <c r="C298" i="10"/>
  <c r="C306" i="10"/>
  <c r="C314" i="10"/>
  <c r="C322" i="10"/>
  <c r="C330" i="10"/>
  <c r="C338" i="10"/>
  <c r="C346" i="10"/>
  <c r="C342" i="10"/>
  <c r="C18" i="10"/>
  <c r="C82" i="10"/>
  <c r="C130" i="10"/>
  <c r="C162" i="10"/>
  <c r="C194" i="10"/>
  <c r="C226" i="10"/>
  <c r="C258" i="10"/>
  <c r="C281" i="10"/>
  <c r="C297" i="10"/>
  <c r="C313" i="10"/>
  <c r="C321" i="10"/>
  <c r="C337" i="10"/>
  <c r="C10" i="10"/>
  <c r="C26" i="10"/>
  <c r="C42" i="10"/>
  <c r="C58" i="10"/>
  <c r="C74" i="10"/>
  <c r="C90" i="10"/>
  <c r="C106" i="10"/>
  <c r="C122" i="10"/>
  <c r="C138" i="10"/>
  <c r="C154" i="10"/>
  <c r="C170" i="10"/>
  <c r="C186" i="10"/>
  <c r="C202" i="10"/>
  <c r="C218" i="10"/>
  <c r="C234" i="10"/>
  <c r="C250" i="10"/>
  <c r="C266" i="10"/>
  <c r="C277" i="10"/>
  <c r="C285" i="10"/>
  <c r="C293" i="10"/>
  <c r="C301" i="10"/>
  <c r="C309" i="10"/>
  <c r="C317" i="10"/>
  <c r="C325" i="10"/>
  <c r="C333" i="10"/>
  <c r="C341" i="10"/>
  <c r="C349" i="10"/>
  <c r="C14" i="10"/>
  <c r="C30" i="10"/>
  <c r="C46" i="10"/>
  <c r="C62" i="10"/>
  <c r="C78" i="10"/>
  <c r="C94" i="10"/>
  <c r="C110" i="10"/>
  <c r="C126" i="10"/>
  <c r="C142" i="10"/>
  <c r="C158" i="10"/>
  <c r="C174" i="10"/>
  <c r="C190" i="10"/>
  <c r="C206" i="10"/>
  <c r="C222" i="10"/>
  <c r="C238" i="10"/>
  <c r="C254" i="10"/>
  <c r="C270" i="10"/>
  <c r="C278" i="10"/>
  <c r="C286" i="10"/>
  <c r="C294" i="10"/>
  <c r="C302" i="10"/>
  <c r="C310" i="10"/>
  <c r="C318" i="10"/>
  <c r="C326" i="10"/>
  <c r="C334" i="10"/>
  <c r="C350" i="10"/>
  <c r="C34" i="10"/>
  <c r="C50" i="10"/>
  <c r="C66" i="10"/>
  <c r="C98" i="10"/>
  <c r="C114" i="10"/>
  <c r="C146" i="10"/>
  <c r="C178" i="10"/>
  <c r="C210" i="10"/>
  <c r="C242" i="10"/>
  <c r="C273" i="10"/>
  <c r="C289" i="10"/>
  <c r="C305" i="10"/>
  <c r="C329" i="10"/>
  <c r="C345" i="10"/>
  <c r="C2" i="10"/>
  <c r="K9" i="3" l="1"/>
  <c r="G9" i="3"/>
  <c r="E9" i="3"/>
  <c r="J9" i="3"/>
  <c r="H9" i="3"/>
  <c r="L9" i="3"/>
  <c r="F9" i="3"/>
  <c r="I9" i="3"/>
  <c r="O7" i="10"/>
  <c r="O11" i="10"/>
  <c r="O27" i="10"/>
  <c r="O43" i="10"/>
  <c r="O59" i="10"/>
  <c r="O75" i="10"/>
  <c r="O91" i="10"/>
  <c r="O107" i="10"/>
  <c r="O123" i="10"/>
  <c r="O139" i="10"/>
  <c r="O155" i="10"/>
  <c r="O171" i="10"/>
  <c r="O187" i="10"/>
  <c r="O203" i="10"/>
  <c r="O219" i="10"/>
  <c r="O235" i="10"/>
  <c r="O251" i="10"/>
  <c r="O267" i="10"/>
  <c r="O283" i="10"/>
  <c r="O303" i="10"/>
  <c r="O339" i="10"/>
  <c r="O16" i="10"/>
  <c r="O44" i="10"/>
  <c r="O76" i="10"/>
  <c r="O108" i="10"/>
  <c r="O140" i="10"/>
  <c r="O172" i="10"/>
  <c r="O204" i="10"/>
  <c r="O236" i="10"/>
  <c r="O268" i="10"/>
  <c r="O18" i="10"/>
  <c r="O34" i="10"/>
  <c r="O50" i="10"/>
  <c r="O66" i="10"/>
  <c r="O82" i="10"/>
  <c r="O98" i="10"/>
  <c r="O114" i="10"/>
  <c r="O130" i="10"/>
  <c r="O146" i="10"/>
  <c r="O162" i="10"/>
  <c r="O178" i="10"/>
  <c r="O194" i="10"/>
  <c r="O210" i="10"/>
  <c r="O226" i="10"/>
  <c r="O242" i="10"/>
  <c r="O258" i="10"/>
  <c r="O274" i="10"/>
  <c r="O290" i="10"/>
  <c r="O306" i="10"/>
  <c r="O322" i="10"/>
  <c r="O338" i="10"/>
  <c r="O295" i="10"/>
  <c r="O331" i="10"/>
  <c r="O4" i="10"/>
  <c r="O48" i="10"/>
  <c r="O80" i="10"/>
  <c r="O112" i="10"/>
  <c r="O144" i="10"/>
  <c r="O176" i="10"/>
  <c r="O208" i="10"/>
  <c r="O240" i="10"/>
  <c r="O5" i="10"/>
  <c r="O117" i="10"/>
  <c r="O261" i="10"/>
  <c r="O337" i="10"/>
  <c r="O121" i="10"/>
  <c r="O249" i="10"/>
  <c r="O332" i="10"/>
  <c r="O93" i="10"/>
  <c r="O237" i="10"/>
  <c r="O317" i="10"/>
  <c r="O33" i="10"/>
  <c r="O97" i="10"/>
  <c r="O161" i="10"/>
  <c r="O225" i="10"/>
  <c r="O280" i="10"/>
  <c r="O312" i="10"/>
  <c r="O344" i="10"/>
  <c r="O101" i="10"/>
  <c r="O229" i="10"/>
  <c r="O297" i="10"/>
  <c r="O9" i="10"/>
  <c r="O137" i="10"/>
  <c r="O265" i="10"/>
  <c r="O324" i="10"/>
  <c r="O77" i="10"/>
  <c r="O205" i="10"/>
  <c r="O293" i="10"/>
  <c r="N15" i="10"/>
  <c r="N31" i="10"/>
  <c r="N47" i="10"/>
  <c r="N63" i="10"/>
  <c r="N79" i="10"/>
  <c r="N95" i="10"/>
  <c r="N111" i="10"/>
  <c r="N127" i="10"/>
  <c r="N143" i="10"/>
  <c r="N159" i="10"/>
  <c r="N175" i="10"/>
  <c r="N191" i="10"/>
  <c r="N207" i="10"/>
  <c r="N223" i="10"/>
  <c r="N239" i="10"/>
  <c r="N255" i="10"/>
  <c r="N271" i="10"/>
  <c r="N287" i="10"/>
  <c r="N303" i="10"/>
  <c r="N319" i="10"/>
  <c r="N335" i="10"/>
  <c r="N351" i="10"/>
  <c r="N157" i="10"/>
  <c r="N189" i="10"/>
  <c r="N16" i="10"/>
  <c r="N32" i="10"/>
  <c r="N48" i="10"/>
  <c r="N64" i="10"/>
  <c r="N80" i="10"/>
  <c r="N96" i="10"/>
  <c r="N112" i="10"/>
  <c r="N128" i="10"/>
  <c r="N144" i="10"/>
  <c r="N160" i="10"/>
  <c r="N176" i="10"/>
  <c r="N192" i="10"/>
  <c r="N208" i="10"/>
  <c r="N224" i="10"/>
  <c r="N240" i="10"/>
  <c r="O15" i="10"/>
  <c r="O31" i="10"/>
  <c r="O47" i="10"/>
  <c r="O63" i="10"/>
  <c r="O79" i="10"/>
  <c r="O95" i="10"/>
  <c r="O111" i="10"/>
  <c r="O127" i="10"/>
  <c r="O143" i="10"/>
  <c r="O159" i="10"/>
  <c r="O175" i="10"/>
  <c r="O191" i="10"/>
  <c r="O207" i="10"/>
  <c r="O223" i="10"/>
  <c r="O239" i="10"/>
  <c r="O255" i="10"/>
  <c r="O271" i="10"/>
  <c r="O287" i="10"/>
  <c r="O311" i="10"/>
  <c r="O347" i="10"/>
  <c r="O20" i="10"/>
  <c r="O52" i="10"/>
  <c r="O84" i="10"/>
  <c r="O116" i="10"/>
  <c r="O148" i="10"/>
  <c r="O180" i="10"/>
  <c r="O212" i="10"/>
  <c r="O244" i="10"/>
  <c r="O6" i="10"/>
  <c r="O22" i="10"/>
  <c r="O38" i="10"/>
  <c r="O54" i="10"/>
  <c r="O70" i="10"/>
  <c r="O86" i="10"/>
  <c r="O102" i="10"/>
  <c r="O118" i="10"/>
  <c r="O134" i="10"/>
  <c r="O150" i="10"/>
  <c r="O166" i="10"/>
  <c r="O182" i="10"/>
  <c r="O198" i="10"/>
  <c r="O214" i="10"/>
  <c r="O230" i="10"/>
  <c r="O246" i="10"/>
  <c r="O262" i="10"/>
  <c r="O278" i="10"/>
  <c r="O294" i="10"/>
  <c r="O310" i="10"/>
  <c r="O326" i="10"/>
  <c r="O342" i="10"/>
  <c r="O307" i="10"/>
  <c r="O335" i="10"/>
  <c r="O24" i="10"/>
  <c r="O56" i="10"/>
  <c r="O88" i="10"/>
  <c r="O120" i="10"/>
  <c r="O152" i="10"/>
  <c r="O184" i="10"/>
  <c r="O216" i="10"/>
  <c r="O248" i="10"/>
  <c r="O21" i="10"/>
  <c r="O149" i="10"/>
  <c r="O289" i="10"/>
  <c r="O25" i="10"/>
  <c r="O153" i="10"/>
  <c r="O276" i="10"/>
  <c r="O348" i="10"/>
  <c r="O125" i="10"/>
  <c r="O269" i="10"/>
  <c r="O325" i="10"/>
  <c r="O49" i="10"/>
  <c r="O113" i="10"/>
  <c r="O177" i="10"/>
  <c r="O241" i="10"/>
  <c r="O288" i="10"/>
  <c r="O320" i="10"/>
  <c r="O133" i="10"/>
  <c r="O245" i="10"/>
  <c r="O313" i="10"/>
  <c r="O41" i="10"/>
  <c r="O169" i="10"/>
  <c r="O284" i="10"/>
  <c r="O340" i="10"/>
  <c r="O109" i="10"/>
  <c r="O221" i="10"/>
  <c r="O309" i="10"/>
  <c r="N3" i="10"/>
  <c r="N19" i="10"/>
  <c r="N35" i="10"/>
  <c r="N51" i="10"/>
  <c r="N67" i="10"/>
  <c r="N83" i="10"/>
  <c r="N99" i="10"/>
  <c r="N115" i="10"/>
  <c r="N131" i="10"/>
  <c r="N147" i="10"/>
  <c r="N163" i="10"/>
  <c r="N179" i="10"/>
  <c r="N195" i="10"/>
  <c r="N211" i="10"/>
  <c r="N227" i="10"/>
  <c r="N243" i="10"/>
  <c r="N259" i="10"/>
  <c r="N275" i="10"/>
  <c r="N291" i="10"/>
  <c r="N307" i="10"/>
  <c r="N323" i="10"/>
  <c r="N339" i="10"/>
  <c r="N125" i="10"/>
  <c r="N165" i="10"/>
  <c r="N4" i="10"/>
  <c r="N20" i="10"/>
  <c r="N36" i="10"/>
  <c r="N52" i="10"/>
  <c r="N68" i="10"/>
  <c r="N84" i="10"/>
  <c r="N100" i="10"/>
  <c r="N116" i="10"/>
  <c r="N132" i="10"/>
  <c r="N148" i="10"/>
  <c r="N164" i="10"/>
  <c r="N180" i="10"/>
  <c r="N196" i="10"/>
  <c r="N212" i="10"/>
  <c r="N228" i="10"/>
  <c r="N244" i="10"/>
  <c r="O3" i="10"/>
  <c r="O39" i="10"/>
  <c r="O71" i="10"/>
  <c r="O103" i="10"/>
  <c r="O135" i="10"/>
  <c r="O167" i="10"/>
  <c r="O199" i="10"/>
  <c r="O231" i="10"/>
  <c r="O263" i="10"/>
  <c r="O299" i="10"/>
  <c r="O12" i="10"/>
  <c r="O68" i="10"/>
  <c r="O132" i="10"/>
  <c r="O196" i="10"/>
  <c r="O260" i="10"/>
  <c r="O30" i="10"/>
  <c r="O62" i="10"/>
  <c r="O94" i="10"/>
  <c r="O126" i="10"/>
  <c r="O158" i="10"/>
  <c r="O190" i="10"/>
  <c r="O222" i="10"/>
  <c r="O254" i="10"/>
  <c r="O286" i="10"/>
  <c r="O318" i="10"/>
  <c r="O350" i="10"/>
  <c r="O351" i="10"/>
  <c r="O72" i="10"/>
  <c r="O136" i="10"/>
  <c r="O200" i="10"/>
  <c r="O264" i="10"/>
  <c r="O213" i="10"/>
  <c r="O89" i="10"/>
  <c r="O316" i="10"/>
  <c r="O189" i="10"/>
  <c r="O17" i="10"/>
  <c r="O145" i="10"/>
  <c r="O272" i="10"/>
  <c r="O336" i="10"/>
  <c r="O197" i="10"/>
  <c r="O345" i="10"/>
  <c r="O233" i="10"/>
  <c r="O45" i="10"/>
  <c r="O277" i="10"/>
  <c r="N11" i="10"/>
  <c r="N43" i="10"/>
  <c r="N75" i="10"/>
  <c r="N107" i="10"/>
  <c r="N139" i="10"/>
  <c r="N171" i="10"/>
  <c r="N203" i="10"/>
  <c r="N235" i="10"/>
  <c r="N267" i="10"/>
  <c r="N299" i="10"/>
  <c r="N331" i="10"/>
  <c r="N149" i="10"/>
  <c r="N12" i="10"/>
  <c r="N44" i="10"/>
  <c r="N76" i="10"/>
  <c r="N108" i="10"/>
  <c r="N140" i="10"/>
  <c r="N172" i="10"/>
  <c r="N204" i="10"/>
  <c r="N236" i="10"/>
  <c r="N260" i="10"/>
  <c r="N276" i="10"/>
  <c r="N292" i="10"/>
  <c r="N308" i="10"/>
  <c r="N324" i="10"/>
  <c r="N340" i="10"/>
  <c r="O23" i="10"/>
  <c r="O55" i="10"/>
  <c r="O87" i="10"/>
  <c r="O119" i="10"/>
  <c r="O151" i="10"/>
  <c r="O183" i="10"/>
  <c r="O215" i="10"/>
  <c r="O247" i="10"/>
  <c r="O279" i="10"/>
  <c r="O327" i="10"/>
  <c r="O36" i="10"/>
  <c r="O100" i="10"/>
  <c r="O164" i="10"/>
  <c r="O228" i="10"/>
  <c r="O14" i="10"/>
  <c r="O46" i="10"/>
  <c r="O78" i="10"/>
  <c r="O110" i="10"/>
  <c r="O142" i="10"/>
  <c r="O174" i="10"/>
  <c r="O206" i="10"/>
  <c r="O238" i="10"/>
  <c r="O270" i="10"/>
  <c r="O302" i="10"/>
  <c r="O334" i="10"/>
  <c r="O323" i="10"/>
  <c r="O40" i="10"/>
  <c r="O104" i="10"/>
  <c r="O168" i="10"/>
  <c r="O232" i="10"/>
  <c r="O85" i="10"/>
  <c r="O321" i="10"/>
  <c r="O217" i="10"/>
  <c r="O61" i="10"/>
  <c r="O301" i="10"/>
  <c r="O81" i="10"/>
  <c r="O209" i="10"/>
  <c r="O304" i="10"/>
  <c r="O69" i="10"/>
  <c r="O281" i="10"/>
  <c r="O105" i="10"/>
  <c r="O308" i="10"/>
  <c r="O173" i="10"/>
  <c r="O349" i="10"/>
  <c r="N27" i="10"/>
  <c r="N59" i="10"/>
  <c r="N91" i="10"/>
  <c r="N123" i="10"/>
  <c r="N155" i="10"/>
  <c r="N187" i="10"/>
  <c r="N219" i="10"/>
  <c r="N251" i="10"/>
  <c r="N283" i="10"/>
  <c r="N315" i="10"/>
  <c r="N347" i="10"/>
  <c r="N181" i="10"/>
  <c r="N28" i="10"/>
  <c r="N60" i="10"/>
  <c r="N92" i="10"/>
  <c r="N124" i="10"/>
  <c r="N156" i="10"/>
  <c r="N188" i="10"/>
  <c r="N220" i="10"/>
  <c r="N252" i="10"/>
  <c r="N268" i="10"/>
  <c r="N284" i="10"/>
  <c r="N300" i="10"/>
  <c r="N316" i="10"/>
  <c r="N332" i="10"/>
  <c r="N348" i="10"/>
  <c r="N13" i="10"/>
  <c r="N29" i="10"/>
  <c r="N45" i="10"/>
  <c r="N61" i="10"/>
  <c r="N77" i="10"/>
  <c r="N93" i="10"/>
  <c r="N109" i="10"/>
  <c r="N129" i="10"/>
  <c r="N153" i="10"/>
  <c r="N185" i="10"/>
  <c r="N54" i="10"/>
  <c r="N118" i="10"/>
  <c r="N182" i="10"/>
  <c r="N218" i="10"/>
  <c r="N250" i="10"/>
  <c r="N282" i="10"/>
  <c r="N314" i="10"/>
  <c r="N346" i="10"/>
  <c r="N305" i="10"/>
  <c r="N26" i="10"/>
  <c r="N90" i="10"/>
  <c r="N154" i="10"/>
  <c r="N205" i="10"/>
  <c r="N237" i="10"/>
  <c r="N269" i="10"/>
  <c r="N301" i="10"/>
  <c r="N333" i="10"/>
  <c r="N30" i="10"/>
  <c r="N94" i="10"/>
  <c r="N158" i="10"/>
  <c r="N206" i="10"/>
  <c r="N238" i="10"/>
  <c r="N270" i="10"/>
  <c r="N302" i="10"/>
  <c r="N334" i="10"/>
  <c r="N34" i="10"/>
  <c r="N98" i="10"/>
  <c r="N162" i="10"/>
  <c r="N209" i="10"/>
  <c r="N241" i="10"/>
  <c r="N297" i="10"/>
  <c r="N2" i="10"/>
  <c r="M15" i="10"/>
  <c r="M31" i="10"/>
  <c r="M47" i="10"/>
  <c r="M63" i="10"/>
  <c r="M79" i="10"/>
  <c r="M95" i="10"/>
  <c r="M111" i="10"/>
  <c r="M127" i="10"/>
  <c r="M143" i="10"/>
  <c r="M159" i="10"/>
  <c r="M175" i="10"/>
  <c r="M191" i="10"/>
  <c r="M207" i="10"/>
  <c r="M223" i="10"/>
  <c r="M239" i="10"/>
  <c r="O19" i="10"/>
  <c r="O83" i="10"/>
  <c r="O147" i="10"/>
  <c r="O211" i="10"/>
  <c r="O275" i="10"/>
  <c r="O28" i="10"/>
  <c r="O156" i="10"/>
  <c r="O10" i="10"/>
  <c r="O74" i="10"/>
  <c r="O138" i="10"/>
  <c r="O202" i="10"/>
  <c r="O266" i="10"/>
  <c r="O330" i="10"/>
  <c r="O32" i="10"/>
  <c r="O160" i="10"/>
  <c r="O53" i="10"/>
  <c r="O185" i="10"/>
  <c r="O285" i="10"/>
  <c r="O193" i="10"/>
  <c r="O37" i="10"/>
  <c r="O73" i="10"/>
  <c r="O141" i="10"/>
  <c r="N23" i="10"/>
  <c r="N87" i="10"/>
  <c r="N151" i="10"/>
  <c r="N215" i="10"/>
  <c r="N279" i="10"/>
  <c r="N343" i="10"/>
  <c r="N24" i="10"/>
  <c r="N88" i="10"/>
  <c r="N152" i="10"/>
  <c r="N216" i="10"/>
  <c r="N264" i="10"/>
  <c r="N296" i="10"/>
  <c r="N328" i="10"/>
  <c r="N5" i="10"/>
  <c r="N25" i="10"/>
  <c r="N49" i="10"/>
  <c r="N69" i="10"/>
  <c r="N89" i="10"/>
  <c r="N113" i="10"/>
  <c r="N137" i="10"/>
  <c r="N177" i="10"/>
  <c r="N70" i="10"/>
  <c r="N150" i="10"/>
  <c r="N210" i="10"/>
  <c r="N258" i="10"/>
  <c r="N298" i="10"/>
  <c r="N338" i="10"/>
  <c r="N321" i="10"/>
  <c r="N58" i="10"/>
  <c r="N138" i="10"/>
  <c r="N213" i="10"/>
  <c r="N253" i="10"/>
  <c r="N293" i="10"/>
  <c r="N341" i="10"/>
  <c r="N62" i="10"/>
  <c r="N142" i="10"/>
  <c r="N214" i="10"/>
  <c r="N254" i="10"/>
  <c r="N294" i="10"/>
  <c r="N342" i="10"/>
  <c r="N66" i="10"/>
  <c r="N146" i="10"/>
  <c r="N217" i="10"/>
  <c r="N265" i="10"/>
  <c r="N345" i="10"/>
  <c r="M19" i="10"/>
  <c r="M39" i="10"/>
  <c r="M59" i="10"/>
  <c r="M83" i="10"/>
  <c r="M103" i="10"/>
  <c r="M123" i="10"/>
  <c r="M147" i="10"/>
  <c r="M167" i="10"/>
  <c r="M187" i="10"/>
  <c r="M211" i="10"/>
  <c r="M231" i="10"/>
  <c r="M251" i="10"/>
  <c r="M267" i="10"/>
  <c r="M283" i="10"/>
  <c r="M299" i="10"/>
  <c r="M315" i="10"/>
  <c r="M331" i="10"/>
  <c r="M347" i="10"/>
  <c r="M8" i="10"/>
  <c r="M24" i="10"/>
  <c r="M40" i="10"/>
  <c r="M56" i="10"/>
  <c r="M72" i="10"/>
  <c r="M88" i="10"/>
  <c r="M104" i="10"/>
  <c r="M120" i="10"/>
  <c r="M136" i="10"/>
  <c r="M152" i="10"/>
  <c r="M168" i="10"/>
  <c r="M184" i="10"/>
  <c r="M200" i="10"/>
  <c r="M216" i="10"/>
  <c r="M232" i="10"/>
  <c r="M248" i="10"/>
  <c r="M264" i="10"/>
  <c r="M280" i="10"/>
  <c r="M296" i="10"/>
  <c r="M312" i="10"/>
  <c r="M328" i="10"/>
  <c r="M344" i="10"/>
  <c r="M9" i="10"/>
  <c r="M25" i="10"/>
  <c r="M41" i="10"/>
  <c r="M57" i="10"/>
  <c r="M73" i="10"/>
  <c r="M89" i="10"/>
  <c r="M105" i="10"/>
  <c r="M121" i="10"/>
  <c r="M137" i="10"/>
  <c r="M153" i="10"/>
  <c r="M38" i="10"/>
  <c r="M102" i="10"/>
  <c r="M165" i="10"/>
  <c r="M197" i="10"/>
  <c r="M229" i="10"/>
  <c r="M261" i="10"/>
  <c r="M293" i="10"/>
  <c r="M325" i="10"/>
  <c r="M250" i="10"/>
  <c r="M322" i="10"/>
  <c r="O35" i="10"/>
  <c r="O99" i="10"/>
  <c r="O163" i="10"/>
  <c r="O227" i="10"/>
  <c r="O291" i="10"/>
  <c r="O60" i="10"/>
  <c r="O188" i="10"/>
  <c r="O26" i="10"/>
  <c r="O90" i="10"/>
  <c r="O154" i="10"/>
  <c r="O218" i="10"/>
  <c r="O282" i="10"/>
  <c r="O346" i="10"/>
  <c r="O64" i="10"/>
  <c r="O192" i="10"/>
  <c r="O181" i="10"/>
  <c r="O300" i="10"/>
  <c r="O341" i="10"/>
  <c r="O257" i="10"/>
  <c r="O165" i="10"/>
  <c r="O201" i="10"/>
  <c r="O253" i="10"/>
  <c r="N39" i="10"/>
  <c r="N103" i="10"/>
  <c r="N167" i="10"/>
  <c r="N231" i="10"/>
  <c r="N295" i="10"/>
  <c r="N141" i="10"/>
  <c r="N40" i="10"/>
  <c r="N104" i="10"/>
  <c r="N168" i="10"/>
  <c r="N232" i="10"/>
  <c r="N272" i="10"/>
  <c r="N304" i="10"/>
  <c r="N336" i="10"/>
  <c r="N9" i="10"/>
  <c r="N33" i="10"/>
  <c r="N53" i="10"/>
  <c r="N73" i="10"/>
  <c r="N97" i="10"/>
  <c r="N117" i="10"/>
  <c r="N145" i="10"/>
  <c r="N6" i="10"/>
  <c r="N86" i="10"/>
  <c r="N166" i="10"/>
  <c r="N226" i="10"/>
  <c r="N266" i="10"/>
  <c r="N306" i="10"/>
  <c r="N249" i="10"/>
  <c r="N337" i="10"/>
  <c r="N74" i="10"/>
  <c r="N170" i="10"/>
  <c r="N221" i="10"/>
  <c r="N261" i="10"/>
  <c r="N309" i="10"/>
  <c r="N349" i="10"/>
  <c r="N78" i="10"/>
  <c r="N174" i="10"/>
  <c r="N222" i="10"/>
  <c r="N262" i="10"/>
  <c r="N310" i="10"/>
  <c r="N350" i="10"/>
  <c r="N82" i="10"/>
  <c r="N178" i="10"/>
  <c r="N225" i="10"/>
  <c r="N281" i="10"/>
  <c r="M3" i="10"/>
  <c r="O51" i="10"/>
  <c r="O179" i="10"/>
  <c r="O319" i="10"/>
  <c r="O220" i="10"/>
  <c r="O106" i="10"/>
  <c r="O234" i="10"/>
  <c r="O315" i="10"/>
  <c r="O224" i="10"/>
  <c r="O13" i="10"/>
  <c r="O296" i="10"/>
  <c r="O292" i="10"/>
  <c r="N55" i="10"/>
  <c r="N183" i="10"/>
  <c r="N311" i="10"/>
  <c r="N56" i="10"/>
  <c r="N184" i="10"/>
  <c r="N280" i="10"/>
  <c r="N344" i="10"/>
  <c r="N37" i="10"/>
  <c r="N81" i="10"/>
  <c r="N121" i="10"/>
  <c r="N22" i="10"/>
  <c r="N194" i="10"/>
  <c r="N274" i="10"/>
  <c r="N273" i="10"/>
  <c r="N106" i="10"/>
  <c r="N229" i="10"/>
  <c r="N317" i="10"/>
  <c r="N110" i="10"/>
  <c r="N230" i="10"/>
  <c r="N318" i="10"/>
  <c r="N114" i="10"/>
  <c r="N233" i="10"/>
  <c r="M7" i="10"/>
  <c r="M35" i="10"/>
  <c r="M67" i="10"/>
  <c r="M91" i="10"/>
  <c r="M119" i="10"/>
  <c r="M151" i="10"/>
  <c r="M179" i="10"/>
  <c r="M203" i="10"/>
  <c r="M235" i="10"/>
  <c r="M259" i="10"/>
  <c r="M279" i="10"/>
  <c r="M303" i="10"/>
  <c r="M323" i="10"/>
  <c r="M343" i="10"/>
  <c r="M12" i="10"/>
  <c r="M32" i="10"/>
  <c r="M52" i="10"/>
  <c r="M76" i="10"/>
  <c r="M96" i="10"/>
  <c r="M116" i="10"/>
  <c r="M140" i="10"/>
  <c r="M160" i="10"/>
  <c r="M180" i="10"/>
  <c r="M204" i="10"/>
  <c r="M224" i="10"/>
  <c r="M244" i="10"/>
  <c r="M268" i="10"/>
  <c r="M288" i="10"/>
  <c r="M308" i="10"/>
  <c r="M332" i="10"/>
  <c r="M21" i="10"/>
  <c r="M45" i="10"/>
  <c r="M65" i="10"/>
  <c r="M85" i="10"/>
  <c r="M109" i="10"/>
  <c r="M129" i="10"/>
  <c r="M149" i="10"/>
  <c r="M54" i="10"/>
  <c r="M134" i="10"/>
  <c r="M189" i="10"/>
  <c r="M237" i="10"/>
  <c r="M277" i="10"/>
  <c r="M317" i="10"/>
  <c r="M274" i="10"/>
  <c r="M10" i="10"/>
  <c r="M74" i="10"/>
  <c r="M138" i="10"/>
  <c r="M182" i="10"/>
  <c r="M214" i="10"/>
  <c r="M246" i="10"/>
  <c r="M278" i="10"/>
  <c r="M310" i="10"/>
  <c r="M342" i="10"/>
  <c r="M46" i="10"/>
  <c r="M110" i="10"/>
  <c r="M169" i="10"/>
  <c r="M201" i="10"/>
  <c r="M233" i="10"/>
  <c r="M265" i="10"/>
  <c r="M297" i="10"/>
  <c r="M329" i="10"/>
  <c r="M34" i="10"/>
  <c r="M98" i="10"/>
  <c r="M162" i="10"/>
  <c r="M194" i="10"/>
  <c r="M226" i="10"/>
  <c r="M266" i="10"/>
  <c r="M330" i="10"/>
  <c r="L7" i="10"/>
  <c r="L23" i="10"/>
  <c r="L39" i="10"/>
  <c r="L55" i="10"/>
  <c r="L71" i="10"/>
  <c r="L87" i="10"/>
  <c r="L103" i="10"/>
  <c r="L119" i="10"/>
  <c r="L135" i="10"/>
  <c r="L151" i="10"/>
  <c r="L167" i="10"/>
  <c r="L183" i="10"/>
  <c r="L199" i="10"/>
  <c r="L215" i="10"/>
  <c r="L231" i="10"/>
  <c r="L247" i="10"/>
  <c r="L263" i="10"/>
  <c r="L279" i="10"/>
  <c r="L303" i="10"/>
  <c r="L339" i="10"/>
  <c r="L16" i="10"/>
  <c r="L48" i="10"/>
  <c r="L80" i="10"/>
  <c r="L112" i="10"/>
  <c r="L144" i="10"/>
  <c r="L176" i="10"/>
  <c r="L208" i="10"/>
  <c r="L240" i="10"/>
  <c r="L10" i="10"/>
  <c r="L26" i="10"/>
  <c r="L42" i="10"/>
  <c r="L58" i="10"/>
  <c r="L74" i="10"/>
  <c r="L90" i="10"/>
  <c r="L106" i="10"/>
  <c r="L122" i="10"/>
  <c r="L138" i="10"/>
  <c r="L154" i="10"/>
  <c r="L170" i="10"/>
  <c r="L186" i="10"/>
  <c r="L202" i="10"/>
  <c r="L218" i="10"/>
  <c r="L234" i="10"/>
  <c r="L250" i="10"/>
  <c r="L266" i="10"/>
  <c r="L282" i="10"/>
  <c r="L298" i="10"/>
  <c r="L314" i="10"/>
  <c r="L330" i="10"/>
  <c r="L346" i="10"/>
  <c r="L307" i="10"/>
  <c r="L335" i="10"/>
  <c r="L20" i="10"/>
  <c r="L52" i="10"/>
  <c r="L84" i="10"/>
  <c r="L116" i="10"/>
  <c r="L148" i="10"/>
  <c r="L180" i="10"/>
  <c r="L212" i="10"/>
  <c r="L244" i="10"/>
  <c r="L37" i="10"/>
  <c r="L101" i="10"/>
  <c r="L165" i="10"/>
  <c r="L229" i="10"/>
  <c r="L276" i="10"/>
  <c r="L308" i="10"/>
  <c r="L340" i="10"/>
  <c r="L57" i="10"/>
  <c r="L121" i="10"/>
  <c r="L185" i="10"/>
  <c r="L249" i="10"/>
  <c r="L285" i="10"/>
  <c r="L317" i="10"/>
  <c r="L349" i="10"/>
  <c r="L61" i="10"/>
  <c r="L125" i="10"/>
  <c r="L189" i="10"/>
  <c r="L253" i="10"/>
  <c r="L288" i="10"/>
  <c r="L320" i="10"/>
  <c r="L65" i="10"/>
  <c r="L129" i="10"/>
  <c r="L193" i="10"/>
  <c r="L257" i="10"/>
  <c r="L289" i="10"/>
  <c r="L321" i="10"/>
  <c r="L348" i="10"/>
  <c r="K11" i="10"/>
  <c r="K27" i="10"/>
  <c r="K43" i="10"/>
  <c r="K59" i="10"/>
  <c r="K75" i="10"/>
  <c r="K91" i="10"/>
  <c r="K107" i="10"/>
  <c r="K123" i="10"/>
  <c r="K139" i="10"/>
  <c r="K155" i="10"/>
  <c r="K171" i="10"/>
  <c r="K187" i="10"/>
  <c r="K203" i="10"/>
  <c r="K219" i="10"/>
  <c r="K235" i="10"/>
  <c r="K251" i="10"/>
  <c r="K267" i="10"/>
  <c r="K283" i="10"/>
  <c r="K303" i="10"/>
  <c r="K335" i="10"/>
  <c r="K16" i="10"/>
  <c r="K44" i="10"/>
  <c r="K76" i="10"/>
  <c r="K108" i="10"/>
  <c r="K140" i="10"/>
  <c r="K172" i="10"/>
  <c r="K204" i="10"/>
  <c r="K236" i="10"/>
  <c r="K268" i="10"/>
  <c r="K18" i="10"/>
  <c r="K34" i="10"/>
  <c r="K50" i="10"/>
  <c r="K66" i="10"/>
  <c r="K82" i="10"/>
  <c r="K98" i="10"/>
  <c r="K114" i="10"/>
  <c r="K130" i="10"/>
  <c r="K146" i="10"/>
  <c r="K162" i="10"/>
  <c r="K178" i="10"/>
  <c r="K194" i="10"/>
  <c r="K210" i="10"/>
  <c r="K226" i="10"/>
  <c r="K242" i="10"/>
  <c r="K258" i="10"/>
  <c r="K274" i="10"/>
  <c r="K290" i="10"/>
  <c r="K306" i="10"/>
  <c r="K322" i="10"/>
  <c r="K338" i="10"/>
  <c r="K295" i="10"/>
  <c r="K331" i="10"/>
  <c r="K4" i="10"/>
  <c r="K48" i="10"/>
  <c r="K80" i="10"/>
  <c r="K112" i="10"/>
  <c r="K144" i="10"/>
  <c r="K176" i="10"/>
  <c r="K208" i="10"/>
  <c r="K240" i="10"/>
  <c r="K5" i="10"/>
  <c r="K69" i="10"/>
  <c r="K133" i="10"/>
  <c r="K197" i="10"/>
  <c r="K261" i="10"/>
  <c r="O115" i="10"/>
  <c r="O243" i="10"/>
  <c r="O92" i="10"/>
  <c r="O42" i="10"/>
  <c r="O170" i="10"/>
  <c r="O298" i="10"/>
  <c r="O96" i="10"/>
  <c r="O305" i="10"/>
  <c r="O65" i="10"/>
  <c r="O273" i="10"/>
  <c r="O333" i="10"/>
  <c r="N119" i="10"/>
  <c r="N247" i="10"/>
  <c r="N173" i="10"/>
  <c r="N120" i="10"/>
  <c r="N248" i="10"/>
  <c r="N312" i="10"/>
  <c r="N17" i="10"/>
  <c r="N57" i="10"/>
  <c r="N101" i="10"/>
  <c r="N161" i="10"/>
  <c r="N102" i="10"/>
  <c r="N234" i="10"/>
  <c r="N322" i="10"/>
  <c r="N10" i="10"/>
  <c r="N186" i="10"/>
  <c r="N277" i="10"/>
  <c r="N14" i="10"/>
  <c r="N190" i="10"/>
  <c r="N278" i="10"/>
  <c r="N18" i="10"/>
  <c r="N193" i="10"/>
  <c r="N313" i="10"/>
  <c r="M23" i="10"/>
  <c r="M51" i="10"/>
  <c r="M75" i="10"/>
  <c r="M107" i="10"/>
  <c r="M135" i="10"/>
  <c r="M163" i="10"/>
  <c r="M195" i="10"/>
  <c r="M219" i="10"/>
  <c r="M247" i="10"/>
  <c r="M271" i="10"/>
  <c r="M291" i="10"/>
  <c r="M311" i="10"/>
  <c r="M335" i="10"/>
  <c r="M157" i="10"/>
  <c r="M20" i="10"/>
  <c r="M44" i="10"/>
  <c r="M64" i="10"/>
  <c r="M84" i="10"/>
  <c r="M108" i="10"/>
  <c r="M128" i="10"/>
  <c r="M148" i="10"/>
  <c r="M172" i="10"/>
  <c r="M192" i="10"/>
  <c r="M212" i="10"/>
  <c r="M236" i="10"/>
  <c r="M256" i="10"/>
  <c r="M276" i="10"/>
  <c r="M300" i="10"/>
  <c r="M320" i="10"/>
  <c r="M340" i="10"/>
  <c r="M13" i="10"/>
  <c r="M33" i="10"/>
  <c r="M53" i="10"/>
  <c r="M77" i="10"/>
  <c r="M97" i="10"/>
  <c r="M117" i="10"/>
  <c r="M141" i="10"/>
  <c r="M6" i="10"/>
  <c r="M86" i="10"/>
  <c r="M173" i="10"/>
  <c r="M213" i="10"/>
  <c r="M253" i="10"/>
  <c r="M301" i="10"/>
  <c r="M341" i="10"/>
  <c r="M306" i="10"/>
  <c r="M42" i="10"/>
  <c r="M106" i="10"/>
  <c r="M166" i="10"/>
  <c r="M198" i="10"/>
  <c r="M230" i="10"/>
  <c r="M262" i="10"/>
  <c r="M294" i="10"/>
  <c r="M326" i="10"/>
  <c r="M14" i="10"/>
  <c r="M78" i="10"/>
  <c r="M142" i="10"/>
  <c r="M185" i="10"/>
  <c r="M217" i="10"/>
  <c r="M249" i="10"/>
  <c r="M281" i="10"/>
  <c r="M313" i="10"/>
  <c r="M345" i="10"/>
  <c r="M66" i="10"/>
  <c r="M130" i="10"/>
  <c r="M178" i="10"/>
  <c r="M210" i="10"/>
  <c r="M242" i="10"/>
  <c r="M298" i="10"/>
  <c r="M2" i="10"/>
  <c r="L15" i="10"/>
  <c r="L31" i="10"/>
  <c r="L47" i="10"/>
  <c r="L63" i="10"/>
  <c r="L79" i="10"/>
  <c r="L95" i="10"/>
  <c r="L111" i="10"/>
  <c r="L127" i="10"/>
  <c r="L143" i="10"/>
  <c r="L159" i="10"/>
  <c r="L175" i="10"/>
  <c r="L191" i="10"/>
  <c r="L207" i="10"/>
  <c r="L223" i="10"/>
  <c r="L239" i="10"/>
  <c r="L255" i="10"/>
  <c r="L271" i="10"/>
  <c r="L291" i="10"/>
  <c r="L323" i="10"/>
  <c r="L8" i="10"/>
  <c r="L32" i="10"/>
  <c r="L64" i="10"/>
  <c r="L96" i="10"/>
  <c r="L128" i="10"/>
  <c r="L160" i="10"/>
  <c r="L192" i="10"/>
  <c r="L224" i="10"/>
  <c r="L256" i="10"/>
  <c r="L18" i="10"/>
  <c r="L34" i="10"/>
  <c r="L50" i="10"/>
  <c r="L66" i="10"/>
  <c r="L82" i="10"/>
  <c r="L98" i="10"/>
  <c r="L114" i="10"/>
  <c r="L130" i="10"/>
  <c r="L146" i="10"/>
  <c r="L162" i="10"/>
  <c r="L178" i="10"/>
  <c r="L194" i="10"/>
  <c r="L210" i="10"/>
  <c r="L226" i="10"/>
  <c r="L242" i="10"/>
  <c r="L258" i="10"/>
  <c r="L274" i="10"/>
  <c r="L290" i="10"/>
  <c r="L306" i="10"/>
  <c r="L322" i="10"/>
  <c r="L338" i="10"/>
  <c r="L287" i="10"/>
  <c r="L319" i="10"/>
  <c r="L351" i="10"/>
  <c r="L36" i="10"/>
  <c r="L68" i="10"/>
  <c r="L100" i="10"/>
  <c r="L132" i="10"/>
  <c r="L164" i="10"/>
  <c r="L196" i="10"/>
  <c r="L228" i="10"/>
  <c r="L5" i="10"/>
  <c r="L69" i="10"/>
  <c r="L133" i="10"/>
  <c r="L197" i="10"/>
  <c r="L260" i="10"/>
  <c r="L292" i="10"/>
  <c r="L324" i="10"/>
  <c r="L25" i="10"/>
  <c r="L89" i="10"/>
  <c r="L153" i="10"/>
  <c r="L217" i="10"/>
  <c r="L269" i="10"/>
  <c r="L301" i="10"/>
  <c r="L333" i="10"/>
  <c r="L29" i="10"/>
  <c r="L93" i="10"/>
  <c r="L157" i="10"/>
  <c r="L221" i="10"/>
  <c r="L272" i="10"/>
  <c r="L304" i="10"/>
  <c r="L336" i="10"/>
  <c r="L33" i="10"/>
  <c r="L97" i="10"/>
  <c r="L161" i="10"/>
  <c r="L225" i="10"/>
  <c r="L273" i="10"/>
  <c r="L305" i="10"/>
  <c r="L337" i="10"/>
  <c r="K3" i="10"/>
  <c r="K19" i="10"/>
  <c r="K35" i="10"/>
  <c r="K51" i="10"/>
  <c r="K67" i="10"/>
  <c r="K83" i="10"/>
  <c r="K99" i="10"/>
  <c r="K115" i="10"/>
  <c r="K131" i="10"/>
  <c r="K147" i="10"/>
  <c r="K163" i="10"/>
  <c r="K179" i="10"/>
  <c r="K195" i="10"/>
  <c r="K211" i="10"/>
  <c r="K227" i="10"/>
  <c r="K243" i="10"/>
  <c r="K259" i="10"/>
  <c r="K275" i="10"/>
  <c r="K291" i="10"/>
  <c r="K319" i="10"/>
  <c r="K8" i="10"/>
  <c r="K28" i="10"/>
  <c r="K60" i="10"/>
  <c r="K92" i="10"/>
  <c r="K124" i="10"/>
  <c r="K156" i="10"/>
  <c r="K188" i="10"/>
  <c r="K220" i="10"/>
  <c r="K252" i="10"/>
  <c r="K10" i="10"/>
  <c r="K26" i="10"/>
  <c r="K42" i="10"/>
  <c r="K58" i="10"/>
  <c r="K74" i="10"/>
  <c r="K90" i="10"/>
  <c r="K106" i="10"/>
  <c r="K122" i="10"/>
  <c r="K138" i="10"/>
  <c r="K154" i="10"/>
  <c r="K170" i="10"/>
  <c r="K186" i="10"/>
  <c r="K202" i="10"/>
  <c r="K218" i="10"/>
  <c r="K234" i="10"/>
  <c r="K250" i="10"/>
  <c r="K266" i="10"/>
  <c r="K282" i="10"/>
  <c r="K298" i="10"/>
  <c r="K314" i="10"/>
  <c r="K330" i="10"/>
  <c r="K346" i="10"/>
  <c r="K315" i="10"/>
  <c r="K343" i="10"/>
  <c r="K32" i="10"/>
  <c r="K64" i="10"/>
  <c r="K96" i="10"/>
  <c r="K128" i="10"/>
  <c r="K160" i="10"/>
  <c r="K192" i="10"/>
  <c r="K224" i="10"/>
  <c r="K256" i="10"/>
  <c r="K37" i="10"/>
  <c r="K101" i="10"/>
  <c r="K165" i="10"/>
  <c r="K229" i="10"/>
  <c r="K281" i="10"/>
  <c r="O67" i="10"/>
  <c r="O8" i="10"/>
  <c r="O122" i="10"/>
  <c r="O343" i="10"/>
  <c r="O157" i="10"/>
  <c r="O29" i="10"/>
  <c r="N199" i="10"/>
  <c r="N72" i="10"/>
  <c r="N288" i="10"/>
  <c r="N41" i="10"/>
  <c r="N133" i="10"/>
  <c r="N202" i="10"/>
  <c r="N289" i="10"/>
  <c r="N245" i="10"/>
  <c r="N126" i="10"/>
  <c r="N326" i="10"/>
  <c r="N257" i="10"/>
  <c r="M43" i="10"/>
  <c r="M99" i="10"/>
  <c r="M155" i="10"/>
  <c r="M215" i="10"/>
  <c r="M263" i="10"/>
  <c r="M307" i="10"/>
  <c r="M351" i="10"/>
  <c r="M36" i="10"/>
  <c r="M80" i="10"/>
  <c r="M124" i="10"/>
  <c r="M164" i="10"/>
  <c r="M208" i="10"/>
  <c r="M252" i="10"/>
  <c r="M292" i="10"/>
  <c r="M336" i="10"/>
  <c r="M29" i="10"/>
  <c r="M69" i="10"/>
  <c r="M113" i="10"/>
  <c r="M161" i="10"/>
  <c r="M150" i="10"/>
  <c r="M245" i="10"/>
  <c r="M333" i="10"/>
  <c r="M26" i="10"/>
  <c r="M154" i="10"/>
  <c r="M222" i="10"/>
  <c r="M286" i="10"/>
  <c r="M350" i="10"/>
  <c r="M126" i="10"/>
  <c r="M209" i="10"/>
  <c r="M273" i="10"/>
  <c r="M337" i="10"/>
  <c r="M114" i="10"/>
  <c r="M202" i="10"/>
  <c r="M282" i="10"/>
  <c r="L11" i="10"/>
  <c r="L43" i="10"/>
  <c r="L75" i="10"/>
  <c r="L107" i="10"/>
  <c r="L139" i="10"/>
  <c r="L171" i="10"/>
  <c r="L203" i="10"/>
  <c r="L235" i="10"/>
  <c r="L267" i="10"/>
  <c r="L315" i="10"/>
  <c r="L24" i="10"/>
  <c r="L88" i="10"/>
  <c r="L152" i="10"/>
  <c r="L216" i="10"/>
  <c r="L14" i="10"/>
  <c r="L46" i="10"/>
  <c r="L78" i="10"/>
  <c r="L110" i="10"/>
  <c r="L142" i="10"/>
  <c r="L174" i="10"/>
  <c r="L206" i="10"/>
  <c r="L238" i="10"/>
  <c r="L270" i="10"/>
  <c r="L302" i="10"/>
  <c r="L334" i="10"/>
  <c r="L311" i="10"/>
  <c r="L28" i="10"/>
  <c r="L92" i="10"/>
  <c r="L156" i="10"/>
  <c r="L220" i="10"/>
  <c r="L53" i="10"/>
  <c r="L181" i="10"/>
  <c r="L284" i="10"/>
  <c r="L9" i="10"/>
  <c r="L137" i="10"/>
  <c r="L261" i="10"/>
  <c r="L325" i="10"/>
  <c r="L77" i="10"/>
  <c r="L205" i="10"/>
  <c r="L296" i="10"/>
  <c r="L17" i="10"/>
  <c r="L145" i="10"/>
  <c r="L265" i="10"/>
  <c r="L329" i="10"/>
  <c r="K15" i="10"/>
  <c r="K47" i="10"/>
  <c r="K79" i="10"/>
  <c r="K111" i="10"/>
  <c r="K143" i="10"/>
  <c r="K175" i="10"/>
  <c r="K207" i="10"/>
  <c r="K239" i="10"/>
  <c r="K271" i="10"/>
  <c r="K311" i="10"/>
  <c r="K20" i="10"/>
  <c r="K84" i="10"/>
  <c r="K148" i="10"/>
  <c r="K212" i="10"/>
  <c r="K6" i="10"/>
  <c r="K38" i="10"/>
  <c r="K70" i="10"/>
  <c r="K102" i="10"/>
  <c r="K134" i="10"/>
  <c r="K166" i="10"/>
  <c r="K198" i="10"/>
  <c r="K230" i="10"/>
  <c r="K262" i="10"/>
  <c r="K294" i="10"/>
  <c r="K326" i="10"/>
  <c r="K307" i="10"/>
  <c r="K24" i="10"/>
  <c r="K88" i="10"/>
  <c r="K152" i="10"/>
  <c r="K216" i="10"/>
  <c r="K21" i="10"/>
  <c r="K149" i="10"/>
  <c r="K273" i="10"/>
  <c r="K313" i="10"/>
  <c r="K25" i="10"/>
  <c r="K89" i="10"/>
  <c r="K153" i="10"/>
  <c r="K217" i="10"/>
  <c r="K276" i="10"/>
  <c r="K308" i="10"/>
  <c r="K340" i="10"/>
  <c r="K45" i="10"/>
  <c r="K109" i="10"/>
  <c r="K173" i="10"/>
  <c r="K237" i="10"/>
  <c r="K285" i="10"/>
  <c r="K317" i="10"/>
  <c r="K349" i="10"/>
  <c r="K65" i="10"/>
  <c r="K129" i="10"/>
  <c r="K193" i="10"/>
  <c r="K257" i="10"/>
  <c r="K296" i="10"/>
  <c r="K328" i="10"/>
  <c r="K321" i="10"/>
  <c r="J7" i="10"/>
  <c r="J23" i="10"/>
  <c r="J39" i="10"/>
  <c r="J55" i="10"/>
  <c r="J71" i="10"/>
  <c r="J87" i="10"/>
  <c r="J103" i="10"/>
  <c r="J119" i="10"/>
  <c r="J135" i="10"/>
  <c r="J151" i="10"/>
  <c r="J171" i="10"/>
  <c r="J199" i="10"/>
  <c r="J235" i="10"/>
  <c r="J267" i="10"/>
  <c r="J303" i="10"/>
  <c r="J335" i="10"/>
  <c r="J20" i="10"/>
  <c r="J52" i="10"/>
  <c r="J84" i="10"/>
  <c r="J116" i="10"/>
  <c r="J14" i="10"/>
  <c r="J30" i="10"/>
  <c r="J46" i="10"/>
  <c r="J62" i="10"/>
  <c r="J78" i="10"/>
  <c r="J94" i="10"/>
  <c r="J110" i="10"/>
  <c r="J126" i="10"/>
  <c r="J142" i="10"/>
  <c r="J158" i="10"/>
  <c r="J174" i="10"/>
  <c r="J190" i="10"/>
  <c r="J206" i="10"/>
  <c r="J222" i="10"/>
  <c r="J238" i="10"/>
  <c r="J254" i="10"/>
  <c r="J270" i="10"/>
  <c r="J286" i="10"/>
  <c r="J302" i="10"/>
  <c r="J318" i="10"/>
  <c r="J334" i="10"/>
  <c r="J350" i="10"/>
  <c r="J195" i="10"/>
  <c r="J223" i="10"/>
  <c r="J255" i="10"/>
  <c r="J287" i="10"/>
  <c r="J315" i="10"/>
  <c r="J347" i="10"/>
  <c r="J24" i="10"/>
  <c r="O131" i="10"/>
  <c r="O124" i="10"/>
  <c r="O186" i="10"/>
  <c r="O128" i="10"/>
  <c r="O129" i="10"/>
  <c r="N7" i="10"/>
  <c r="N263" i="10"/>
  <c r="N136" i="10"/>
  <c r="N320" i="10"/>
  <c r="N65" i="10"/>
  <c r="N169" i="10"/>
  <c r="N242" i="10"/>
  <c r="N42" i="10"/>
  <c r="N285" i="10"/>
  <c r="N198" i="10"/>
  <c r="N50" i="10"/>
  <c r="N329" i="10"/>
  <c r="M55" i="10"/>
  <c r="M115" i="10"/>
  <c r="M171" i="10"/>
  <c r="M227" i="10"/>
  <c r="M275" i="10"/>
  <c r="M319" i="10"/>
  <c r="M4" i="10"/>
  <c r="M48" i="10"/>
  <c r="M92" i="10"/>
  <c r="M132" i="10"/>
  <c r="M176" i="10"/>
  <c r="M220" i="10"/>
  <c r="M260" i="10"/>
  <c r="M304" i="10"/>
  <c r="M348" i="10"/>
  <c r="M37" i="10"/>
  <c r="M81" i="10"/>
  <c r="M125" i="10"/>
  <c r="M22" i="10"/>
  <c r="M181" i="10"/>
  <c r="M269" i="10"/>
  <c r="M349" i="10"/>
  <c r="M58" i="10"/>
  <c r="M174" i="10"/>
  <c r="M238" i="10"/>
  <c r="M302" i="10"/>
  <c r="M30" i="10"/>
  <c r="M158" i="10"/>
  <c r="M225" i="10"/>
  <c r="M289" i="10"/>
  <c r="M18" i="10"/>
  <c r="M146" i="10"/>
  <c r="M218" i="10"/>
  <c r="M314" i="10"/>
  <c r="L19" i="10"/>
  <c r="L51" i="10"/>
  <c r="L83" i="10"/>
  <c r="L115" i="10"/>
  <c r="L147" i="10"/>
  <c r="L179" i="10"/>
  <c r="L211" i="10"/>
  <c r="L243" i="10"/>
  <c r="L275" i="10"/>
  <c r="L331" i="10"/>
  <c r="L40" i="10"/>
  <c r="L104" i="10"/>
  <c r="L168" i="10"/>
  <c r="L232" i="10"/>
  <c r="L22" i="10"/>
  <c r="L54" i="10"/>
  <c r="L86" i="10"/>
  <c r="L118" i="10"/>
  <c r="L150" i="10"/>
  <c r="L182" i="10"/>
  <c r="L214" i="10"/>
  <c r="L246" i="10"/>
  <c r="L278" i="10"/>
  <c r="L310" i="10"/>
  <c r="L342" i="10"/>
  <c r="L327" i="10"/>
  <c r="L44" i="10"/>
  <c r="L108" i="10"/>
  <c r="L172" i="10"/>
  <c r="L236" i="10"/>
  <c r="L85" i="10"/>
  <c r="L213" i="10"/>
  <c r="L300" i="10"/>
  <c r="L41" i="10"/>
  <c r="L169" i="10"/>
  <c r="L277" i="10"/>
  <c r="L341" i="10"/>
  <c r="L109" i="10"/>
  <c r="L237" i="10"/>
  <c r="L312" i="10"/>
  <c r="L49" i="10"/>
  <c r="L177" i="10"/>
  <c r="L281" i="10"/>
  <c r="L345" i="10"/>
  <c r="K23" i="10"/>
  <c r="K55" i="10"/>
  <c r="K87" i="10"/>
  <c r="K119" i="10"/>
  <c r="K151" i="10"/>
  <c r="K183" i="10"/>
  <c r="K215" i="10"/>
  <c r="K247" i="10"/>
  <c r="K279" i="10"/>
  <c r="K327" i="10"/>
  <c r="K36" i="10"/>
  <c r="K100" i="10"/>
  <c r="K164" i="10"/>
  <c r="K228" i="10"/>
  <c r="K14" i="10"/>
  <c r="K46" i="10"/>
  <c r="K78" i="10"/>
  <c r="K110" i="10"/>
  <c r="K142" i="10"/>
  <c r="K174" i="10"/>
  <c r="K206" i="10"/>
  <c r="K238" i="10"/>
  <c r="K270" i="10"/>
  <c r="K302" i="10"/>
  <c r="K334" i="10"/>
  <c r="K323" i="10"/>
  <c r="K40" i="10"/>
  <c r="K104" i="10"/>
  <c r="K168" i="10"/>
  <c r="K232" i="10"/>
  <c r="K53" i="10"/>
  <c r="K181" i="10"/>
  <c r="K289" i="10"/>
  <c r="K329" i="10"/>
  <c r="K41" i="10"/>
  <c r="K105" i="10"/>
  <c r="K169" i="10"/>
  <c r="K233" i="10"/>
  <c r="K284" i="10"/>
  <c r="K316" i="10"/>
  <c r="K348" i="10"/>
  <c r="K61" i="10"/>
  <c r="K125" i="10"/>
  <c r="K189" i="10"/>
  <c r="K253" i="10"/>
  <c r="K293" i="10"/>
  <c r="K325" i="10"/>
  <c r="K17" i="10"/>
  <c r="K81" i="10"/>
  <c r="K145" i="10"/>
  <c r="K209" i="10"/>
  <c r="K272" i="10"/>
  <c r="K304" i="10"/>
  <c r="K336" i="10"/>
  <c r="K337" i="10"/>
  <c r="J11" i="10"/>
  <c r="J27" i="10"/>
  <c r="J43" i="10"/>
  <c r="J59" i="10"/>
  <c r="J75" i="10"/>
  <c r="J91" i="10"/>
  <c r="J107" i="10"/>
  <c r="J123" i="10"/>
  <c r="J139" i="10"/>
  <c r="J155" i="10"/>
  <c r="J175" i="10"/>
  <c r="J207" i="10"/>
  <c r="J243" i="10"/>
  <c r="J275" i="10"/>
  <c r="J311" i="10"/>
  <c r="J343" i="10"/>
  <c r="J28" i="10"/>
  <c r="J60" i="10"/>
  <c r="J92" i="10"/>
  <c r="J124" i="10"/>
  <c r="J18" i="10"/>
  <c r="J34" i="10"/>
  <c r="J50" i="10"/>
  <c r="J66" i="10"/>
  <c r="J82" i="10"/>
  <c r="J98" i="10"/>
  <c r="J114" i="10"/>
  <c r="J130" i="10"/>
  <c r="J146" i="10"/>
  <c r="J162" i="10"/>
  <c r="J178" i="10"/>
  <c r="J194" i="10"/>
  <c r="J210" i="10"/>
  <c r="J226" i="10"/>
  <c r="J242" i="10"/>
  <c r="J258" i="10"/>
  <c r="J274" i="10"/>
  <c r="J290" i="10"/>
  <c r="J306" i="10"/>
  <c r="J322" i="10"/>
  <c r="J338" i="10"/>
  <c r="J163" i="10"/>
  <c r="J203" i="10"/>
  <c r="J231" i="10"/>
  <c r="J263" i="10"/>
  <c r="J295" i="10"/>
  <c r="J323" i="10"/>
  <c r="J4" i="10"/>
  <c r="J32" i="10"/>
  <c r="J64" i="10"/>
  <c r="J96" i="10"/>
  <c r="J5" i="10"/>
  <c r="J69" i="10"/>
  <c r="J129" i="10"/>
  <c r="J177" i="10"/>
  <c r="J249" i="10"/>
  <c r="J321" i="10"/>
  <c r="J73" i="10"/>
  <c r="J164" i="10"/>
  <c r="J228" i="10"/>
  <c r="J292" i="10"/>
  <c r="J13" i="10"/>
  <c r="J133" i="10"/>
  <c r="J197" i="10"/>
  <c r="J261" i="10"/>
  <c r="J325" i="10"/>
  <c r="J49" i="10"/>
  <c r="J113" i="10"/>
  <c r="J152" i="10"/>
  <c r="J184" i="10"/>
  <c r="J216" i="10"/>
  <c r="J248" i="10"/>
  <c r="J280" i="10"/>
  <c r="J312" i="10"/>
  <c r="J344" i="10"/>
  <c r="J185" i="10"/>
  <c r="J241" i="10"/>
  <c r="J297" i="10"/>
  <c r="J9" i="10"/>
  <c r="J140" i="10"/>
  <c r="J204" i="10"/>
  <c r="J268" i="10"/>
  <c r="J332" i="10"/>
  <c r="J93" i="10"/>
  <c r="J173" i="10"/>
  <c r="J245" i="10"/>
  <c r="J301" i="10"/>
  <c r="J2" i="10"/>
  <c r="I15" i="10"/>
  <c r="I31" i="10"/>
  <c r="I47" i="10"/>
  <c r="I63" i="10"/>
  <c r="I79" i="10"/>
  <c r="I95" i="10"/>
  <c r="I111" i="10"/>
  <c r="I127" i="10"/>
  <c r="I143" i="10"/>
  <c r="I159" i="10"/>
  <c r="I175" i="10"/>
  <c r="I191" i="10"/>
  <c r="I207" i="10"/>
  <c r="I223" i="10"/>
  <c r="I239" i="10"/>
  <c r="I255" i="10"/>
  <c r="I271" i="10"/>
  <c r="O195" i="10"/>
  <c r="O250" i="10"/>
  <c r="O328" i="10"/>
  <c r="N327" i="10"/>
  <c r="N38" i="10"/>
  <c r="N122" i="10"/>
  <c r="N246" i="10"/>
  <c r="M11" i="10"/>
  <c r="M131" i="10"/>
  <c r="M243" i="10"/>
  <c r="M327" i="10"/>
  <c r="M60" i="10"/>
  <c r="M144" i="10"/>
  <c r="M228" i="10"/>
  <c r="M316" i="10"/>
  <c r="M49" i="10"/>
  <c r="M133" i="10"/>
  <c r="M205" i="10"/>
  <c r="M290" i="10"/>
  <c r="M190" i="10"/>
  <c r="M318" i="10"/>
  <c r="M177" i="10"/>
  <c r="M305" i="10"/>
  <c r="M170" i="10"/>
  <c r="M346" i="10"/>
  <c r="L59" i="10"/>
  <c r="L123" i="10"/>
  <c r="L187" i="10"/>
  <c r="L251" i="10"/>
  <c r="L347" i="10"/>
  <c r="L120" i="10"/>
  <c r="L248" i="10"/>
  <c r="L62" i="10"/>
  <c r="L126" i="10"/>
  <c r="L190" i="10"/>
  <c r="L254" i="10"/>
  <c r="L318" i="10"/>
  <c r="L343" i="10"/>
  <c r="L124" i="10"/>
  <c r="L252" i="10"/>
  <c r="L245" i="10"/>
  <c r="L73" i="10"/>
  <c r="L293" i="10"/>
  <c r="L141" i="10"/>
  <c r="L328" i="10"/>
  <c r="L209" i="10"/>
  <c r="L2" i="10"/>
  <c r="K63" i="10"/>
  <c r="K127" i="10"/>
  <c r="K191" i="10"/>
  <c r="K255" i="10"/>
  <c r="K347" i="10"/>
  <c r="K116" i="10"/>
  <c r="K244" i="10"/>
  <c r="K54" i="10"/>
  <c r="K118" i="10"/>
  <c r="K182" i="10"/>
  <c r="K246" i="10"/>
  <c r="K310" i="10"/>
  <c r="K339" i="10"/>
  <c r="K120" i="10"/>
  <c r="K248" i="10"/>
  <c r="K213" i="10"/>
  <c r="K345" i="10"/>
  <c r="K121" i="10"/>
  <c r="K249" i="10"/>
  <c r="K324" i="10"/>
  <c r="K77" i="10"/>
  <c r="K205" i="10"/>
  <c r="K301" i="10"/>
  <c r="K33" i="10"/>
  <c r="K161" i="10"/>
  <c r="K280" i="10"/>
  <c r="K344" i="10"/>
  <c r="J15" i="10"/>
  <c r="J47" i="10"/>
  <c r="J79" i="10"/>
  <c r="J111" i="10"/>
  <c r="J143" i="10"/>
  <c r="J183" i="10"/>
  <c r="J251" i="10"/>
  <c r="J319" i="10"/>
  <c r="J36" i="10"/>
  <c r="J100" i="10"/>
  <c r="J22" i="10"/>
  <c r="J54" i="10"/>
  <c r="J86" i="10"/>
  <c r="J118" i="10"/>
  <c r="J150" i="10"/>
  <c r="J182" i="10"/>
  <c r="J214" i="10"/>
  <c r="J246" i="10"/>
  <c r="J278" i="10"/>
  <c r="J310" i="10"/>
  <c r="J342" i="10"/>
  <c r="J211" i="10"/>
  <c r="J271" i="10"/>
  <c r="J331" i="10"/>
  <c r="J40" i="10"/>
  <c r="J80" i="10"/>
  <c r="J120" i="10"/>
  <c r="J85" i="10"/>
  <c r="J145" i="10"/>
  <c r="J233" i="10"/>
  <c r="J337" i="10"/>
  <c r="J132" i="10"/>
  <c r="J212" i="10"/>
  <c r="J308" i="10"/>
  <c r="J77" i="10"/>
  <c r="J181" i="10"/>
  <c r="J277" i="10"/>
  <c r="J17" i="10"/>
  <c r="J97" i="10"/>
  <c r="J160" i="10"/>
  <c r="J200" i="10"/>
  <c r="J240" i="10"/>
  <c r="J288" i="10"/>
  <c r="J328" i="10"/>
  <c r="J169" i="10"/>
  <c r="J257" i="10"/>
  <c r="J329" i="10"/>
  <c r="J121" i="10"/>
  <c r="J220" i="10"/>
  <c r="J300" i="10"/>
  <c r="J61" i="10"/>
  <c r="J189" i="10"/>
  <c r="J269" i="10"/>
  <c r="J349" i="10"/>
  <c r="I19" i="10"/>
  <c r="I39" i="10"/>
  <c r="I59" i="10"/>
  <c r="I83" i="10"/>
  <c r="I103" i="10"/>
  <c r="I123" i="10"/>
  <c r="I147" i="10"/>
  <c r="I167" i="10"/>
  <c r="I187" i="10"/>
  <c r="I211" i="10"/>
  <c r="I231" i="10"/>
  <c r="I251" i="10"/>
  <c r="I275" i="10"/>
  <c r="I291" i="10"/>
  <c r="I307" i="10"/>
  <c r="I323" i="10"/>
  <c r="I339" i="10"/>
  <c r="I117" i="10"/>
  <c r="I161" i="10"/>
  <c r="I193" i="10"/>
  <c r="I16" i="10"/>
  <c r="I32" i="10"/>
  <c r="I48" i="10"/>
  <c r="I64" i="10"/>
  <c r="I80" i="10"/>
  <c r="I96" i="10"/>
  <c r="I112" i="10"/>
  <c r="I128" i="10"/>
  <c r="I144" i="10"/>
  <c r="I160" i="10"/>
  <c r="I176" i="10"/>
  <c r="I192" i="10"/>
  <c r="I208" i="10"/>
  <c r="I224" i="10"/>
  <c r="I240" i="10"/>
  <c r="I256" i="10"/>
  <c r="I272" i="10"/>
  <c r="I288" i="10"/>
  <c r="I304" i="10"/>
  <c r="I320" i="10"/>
  <c r="I336" i="10"/>
  <c r="I17" i="10"/>
  <c r="I33" i="10"/>
  <c r="I49" i="10"/>
  <c r="I65" i="10"/>
  <c r="I81" i="10"/>
  <c r="I97" i="10"/>
  <c r="I113" i="10"/>
  <c r="I133" i="10"/>
  <c r="I165" i="10"/>
  <c r="I6" i="10"/>
  <c r="I70" i="10"/>
  <c r="I134" i="10"/>
  <c r="I197" i="10"/>
  <c r="I229" i="10"/>
  <c r="I261" i="10"/>
  <c r="I293" i="10"/>
  <c r="I325" i="10"/>
  <c r="I26" i="10"/>
  <c r="I90" i="10"/>
  <c r="O252" i="10"/>
  <c r="O256" i="10"/>
  <c r="N71" i="10"/>
  <c r="N200" i="10"/>
  <c r="N85" i="10"/>
  <c r="N290" i="10"/>
  <c r="N325" i="10"/>
  <c r="N130" i="10"/>
  <c r="M71" i="10"/>
  <c r="M183" i="10"/>
  <c r="M287" i="10"/>
  <c r="M16" i="10"/>
  <c r="M100" i="10"/>
  <c r="M188" i="10"/>
  <c r="M272" i="10"/>
  <c r="M5" i="10"/>
  <c r="M93" i="10"/>
  <c r="M70" i="10"/>
  <c r="M285" i="10"/>
  <c r="M90" i="10"/>
  <c r="M254" i="10"/>
  <c r="M62" i="10"/>
  <c r="M241" i="10"/>
  <c r="M50" i="10"/>
  <c r="M234" i="10"/>
  <c r="L27" i="10"/>
  <c r="L91" i="10"/>
  <c r="L155" i="10"/>
  <c r="L219" i="10"/>
  <c r="L283" i="10"/>
  <c r="L56" i="10"/>
  <c r="L184" i="10"/>
  <c r="L30" i="10"/>
  <c r="L94" i="10"/>
  <c r="L158" i="10"/>
  <c r="L222" i="10"/>
  <c r="L286" i="10"/>
  <c r="L350" i="10"/>
  <c r="L60" i="10"/>
  <c r="L188" i="10"/>
  <c r="L117" i="10"/>
  <c r="L316" i="10"/>
  <c r="L201" i="10"/>
  <c r="L13" i="10"/>
  <c r="L264" i="10"/>
  <c r="L81" i="10"/>
  <c r="L297" i="10"/>
  <c r="K31" i="10"/>
  <c r="K95" i="10"/>
  <c r="K159" i="10"/>
  <c r="K223" i="10"/>
  <c r="K287" i="10"/>
  <c r="K52" i="10"/>
  <c r="K180" i="10"/>
  <c r="K22" i="10"/>
  <c r="K86" i="10"/>
  <c r="K150" i="10"/>
  <c r="K214" i="10"/>
  <c r="K278" i="10"/>
  <c r="K342" i="10"/>
  <c r="K56" i="10"/>
  <c r="K184" i="10"/>
  <c r="K85" i="10"/>
  <c r="K297" i="10"/>
  <c r="K57" i="10"/>
  <c r="K185" i="10"/>
  <c r="K292" i="10"/>
  <c r="K13" i="10"/>
  <c r="K141" i="10"/>
  <c r="K269" i="10"/>
  <c r="K333" i="10"/>
  <c r="K97" i="10"/>
  <c r="K225" i="10"/>
  <c r="K312" i="10"/>
  <c r="K2" i="10"/>
  <c r="J31" i="10"/>
  <c r="J63" i="10"/>
  <c r="J95" i="10"/>
  <c r="J127" i="10"/>
  <c r="J159" i="10"/>
  <c r="J215" i="10"/>
  <c r="J283" i="10"/>
  <c r="J351" i="10"/>
  <c r="J68" i="10"/>
  <c r="J6" i="10"/>
  <c r="J38" i="10"/>
  <c r="J70" i="10"/>
  <c r="J102" i="10"/>
  <c r="J134" i="10"/>
  <c r="J166" i="10"/>
  <c r="J198" i="10"/>
  <c r="J230" i="10"/>
  <c r="J262" i="10"/>
  <c r="J294" i="10"/>
  <c r="J326" i="10"/>
  <c r="J179" i="10"/>
  <c r="J239" i="10"/>
  <c r="J299" i="10"/>
  <c r="J12" i="10"/>
  <c r="J56" i="10"/>
  <c r="J104" i="10"/>
  <c r="J37" i="10"/>
  <c r="J117" i="10"/>
  <c r="J193" i="10"/>
  <c r="J281" i="10"/>
  <c r="J41" i="10"/>
  <c r="J180" i="10"/>
  <c r="J260" i="10"/>
  <c r="J340" i="10"/>
  <c r="J149" i="10"/>
  <c r="J221" i="10"/>
  <c r="J309" i="10"/>
  <c r="J65" i="10"/>
  <c r="J136" i="10"/>
  <c r="J176" i="10"/>
  <c r="J224" i="10"/>
  <c r="J264" i="10"/>
  <c r="J304" i="10"/>
  <c r="J217" i="10"/>
  <c r="J289" i="10"/>
  <c r="J57" i="10"/>
  <c r="J172" i="10"/>
  <c r="J252" i="10"/>
  <c r="J348" i="10"/>
  <c r="J141" i="10"/>
  <c r="J229" i="10"/>
  <c r="J317" i="10"/>
  <c r="I7" i="10"/>
  <c r="I27" i="10"/>
  <c r="I51" i="10"/>
  <c r="I71" i="10"/>
  <c r="I91" i="10"/>
  <c r="I115" i="10"/>
  <c r="I135" i="10"/>
  <c r="I155" i="10"/>
  <c r="I179" i="10"/>
  <c r="I199" i="10"/>
  <c r="I219" i="10"/>
  <c r="I243" i="10"/>
  <c r="I263" i="10"/>
  <c r="I283" i="10"/>
  <c r="I299" i="10"/>
  <c r="I315" i="10"/>
  <c r="I331" i="10"/>
  <c r="I347" i="10"/>
  <c r="I145" i="10"/>
  <c r="I177" i="10"/>
  <c r="I8" i="10"/>
  <c r="I24" i="10"/>
  <c r="I40" i="10"/>
  <c r="I56" i="10"/>
  <c r="I72" i="10"/>
  <c r="I88" i="10"/>
  <c r="I104" i="10"/>
  <c r="I120" i="10"/>
  <c r="I136" i="10"/>
  <c r="I152" i="10"/>
  <c r="I168" i="10"/>
  <c r="I184" i="10"/>
  <c r="I200" i="10"/>
  <c r="I216" i="10"/>
  <c r="I232" i="10"/>
  <c r="I248" i="10"/>
  <c r="I264" i="10"/>
  <c r="I280" i="10"/>
  <c r="I296" i="10"/>
  <c r="I312" i="10"/>
  <c r="I328" i="10"/>
  <c r="I344" i="10"/>
  <c r="I9" i="10"/>
  <c r="I25" i="10"/>
  <c r="I41" i="10"/>
  <c r="I57" i="10"/>
  <c r="I73" i="10"/>
  <c r="I89" i="10"/>
  <c r="I105" i="10"/>
  <c r="I125" i="10"/>
  <c r="I149" i="10"/>
  <c r="I181" i="10"/>
  <c r="I38" i="10"/>
  <c r="I102" i="10"/>
  <c r="I166" i="10"/>
  <c r="I213" i="10"/>
  <c r="I245" i="10"/>
  <c r="I277" i="10"/>
  <c r="I309" i="10"/>
  <c r="I349" i="10"/>
  <c r="I58" i="10"/>
  <c r="I122" i="10"/>
  <c r="I186" i="10"/>
  <c r="I222" i="10"/>
  <c r="I254" i="10"/>
  <c r="I286" i="10"/>
  <c r="I318" i="10"/>
  <c r="I350" i="10"/>
  <c r="I62" i="10"/>
  <c r="I126" i="10"/>
  <c r="I190" i="10"/>
  <c r="I225" i="10"/>
  <c r="I257" i="10"/>
  <c r="I289" i="10"/>
  <c r="I321" i="10"/>
  <c r="I18" i="10"/>
  <c r="I82" i="10"/>
  <c r="I146" i="10"/>
  <c r="I202" i="10"/>
  <c r="I234" i="10"/>
  <c r="I266" i="10"/>
  <c r="I298" i="10"/>
  <c r="I330" i="10"/>
  <c r="I2" i="10"/>
  <c r="H15" i="10"/>
  <c r="H31" i="10"/>
  <c r="H47" i="10"/>
  <c r="H63" i="10"/>
  <c r="H79" i="10"/>
  <c r="H95" i="10"/>
  <c r="H111" i="10"/>
  <c r="H127" i="10"/>
  <c r="H143" i="10"/>
  <c r="H159" i="10"/>
  <c r="H175" i="10"/>
  <c r="H191" i="10"/>
  <c r="H207" i="10"/>
  <c r="H223" i="10"/>
  <c r="H239" i="10"/>
  <c r="H255" i="10"/>
  <c r="H271" i="10"/>
  <c r="H287" i="10"/>
  <c r="H303" i="10"/>
  <c r="H319" i="10"/>
  <c r="H335" i="10"/>
  <c r="H351" i="10"/>
  <c r="H16" i="10"/>
  <c r="H32" i="10"/>
  <c r="H48" i="10"/>
  <c r="H64" i="10"/>
  <c r="H80" i="10"/>
  <c r="H96" i="10"/>
  <c r="H112" i="10"/>
  <c r="H128" i="10"/>
  <c r="H144" i="10"/>
  <c r="H160" i="10"/>
  <c r="H176" i="10"/>
  <c r="H192" i="10"/>
  <c r="H208" i="10"/>
  <c r="H224" i="10"/>
  <c r="H240" i="10"/>
  <c r="H256" i="10"/>
  <c r="H272" i="10"/>
  <c r="H288" i="10"/>
  <c r="H304" i="10"/>
  <c r="H320" i="10"/>
  <c r="H336" i="10"/>
  <c r="O259" i="10"/>
  <c r="O329" i="10"/>
  <c r="N21" i="10"/>
  <c r="N197" i="10"/>
  <c r="M27" i="10"/>
  <c r="M255" i="10"/>
  <c r="M68" i="10"/>
  <c r="M240" i="10"/>
  <c r="M61" i="10"/>
  <c r="M221" i="10"/>
  <c r="M206" i="10"/>
  <c r="M193" i="10"/>
  <c r="M186" i="10"/>
  <c r="L67" i="10"/>
  <c r="L195" i="10"/>
  <c r="L12" i="10"/>
  <c r="L6" i="10"/>
  <c r="L134" i="10"/>
  <c r="L262" i="10"/>
  <c r="L4" i="10"/>
  <c r="L21" i="10"/>
  <c r="L105" i="10"/>
  <c r="L173" i="10"/>
  <c r="L241" i="10"/>
  <c r="K71" i="10"/>
  <c r="K199" i="10"/>
  <c r="K12" i="10"/>
  <c r="K260" i="10"/>
  <c r="K126" i="10"/>
  <c r="K254" i="10"/>
  <c r="K351" i="10"/>
  <c r="K264" i="10"/>
  <c r="K9" i="10"/>
  <c r="K265" i="10"/>
  <c r="K93" i="10"/>
  <c r="K309" i="10"/>
  <c r="K177" i="10"/>
  <c r="J51" i="10"/>
  <c r="J115" i="10"/>
  <c r="J191" i="10"/>
  <c r="J327" i="10"/>
  <c r="J108" i="10"/>
  <c r="J58" i="10"/>
  <c r="J122" i="10"/>
  <c r="J186" i="10"/>
  <c r="J250" i="10"/>
  <c r="J314" i="10"/>
  <c r="J219" i="10"/>
  <c r="J339" i="10"/>
  <c r="J88" i="10"/>
  <c r="J101" i="10"/>
  <c r="J265" i="10"/>
  <c r="J148" i="10"/>
  <c r="J324" i="10"/>
  <c r="J213" i="10"/>
  <c r="J33" i="10"/>
  <c r="J168" i="10"/>
  <c r="J256" i="10"/>
  <c r="J336" i="10"/>
  <c r="J273" i="10"/>
  <c r="J156" i="10"/>
  <c r="J316" i="10"/>
  <c r="J205" i="10"/>
  <c r="I3" i="10"/>
  <c r="I43" i="10"/>
  <c r="I87" i="10"/>
  <c r="I131" i="10"/>
  <c r="I171" i="10"/>
  <c r="I215" i="10"/>
  <c r="I259" i="10"/>
  <c r="I295" i="10"/>
  <c r="I327" i="10"/>
  <c r="I137" i="10"/>
  <c r="I4" i="10"/>
  <c r="I36" i="10"/>
  <c r="I68" i="10"/>
  <c r="I100" i="10"/>
  <c r="I132" i="10"/>
  <c r="I164" i="10"/>
  <c r="I196" i="10"/>
  <c r="I228" i="10"/>
  <c r="I260" i="10"/>
  <c r="I292" i="10"/>
  <c r="I324" i="10"/>
  <c r="I5" i="10"/>
  <c r="I37" i="10"/>
  <c r="I69" i="10"/>
  <c r="I101" i="10"/>
  <c r="I141" i="10"/>
  <c r="I22" i="10"/>
  <c r="I150" i="10"/>
  <c r="I237" i="10"/>
  <c r="I301" i="10"/>
  <c r="I42" i="10"/>
  <c r="I154" i="10"/>
  <c r="I214" i="10"/>
  <c r="I262" i="10"/>
  <c r="I302" i="10"/>
  <c r="I342" i="10"/>
  <c r="I78" i="10"/>
  <c r="I158" i="10"/>
  <c r="I217" i="10"/>
  <c r="I265" i="10"/>
  <c r="I305" i="10"/>
  <c r="I345" i="10"/>
  <c r="I98" i="10"/>
  <c r="I178" i="10"/>
  <c r="I226" i="10"/>
  <c r="I274" i="10"/>
  <c r="I314" i="10"/>
  <c r="I341" i="10"/>
  <c r="H19" i="10"/>
  <c r="H39" i="10"/>
  <c r="H59" i="10"/>
  <c r="H83" i="10"/>
  <c r="H103" i="10"/>
  <c r="H123" i="10"/>
  <c r="H147" i="10"/>
  <c r="H167" i="10"/>
  <c r="H187" i="10"/>
  <c r="H211" i="10"/>
  <c r="H231" i="10"/>
  <c r="H251" i="10"/>
  <c r="H275" i="10"/>
  <c r="H295" i="10"/>
  <c r="H315" i="10"/>
  <c r="H339" i="10"/>
  <c r="H8" i="10"/>
  <c r="H28" i="10"/>
  <c r="H52" i="10"/>
  <c r="H72" i="10"/>
  <c r="H92" i="10"/>
  <c r="H116" i="10"/>
  <c r="H136" i="10"/>
  <c r="H156" i="10"/>
  <c r="H180" i="10"/>
  <c r="H200" i="10"/>
  <c r="H220" i="10"/>
  <c r="H244" i="10"/>
  <c r="H264" i="10"/>
  <c r="H284" i="10"/>
  <c r="H308" i="10"/>
  <c r="H328" i="10"/>
  <c r="H348" i="10"/>
  <c r="H13" i="10"/>
  <c r="H29" i="10"/>
  <c r="H45" i="10"/>
  <c r="H61" i="10"/>
  <c r="H77" i="10"/>
  <c r="H93" i="10"/>
  <c r="H109" i="10"/>
  <c r="H125" i="10"/>
  <c r="H141" i="10"/>
  <c r="H157" i="10"/>
  <c r="H54" i="10"/>
  <c r="H118" i="10"/>
  <c r="H202" i="10"/>
  <c r="H282" i="10"/>
  <c r="H346" i="10"/>
  <c r="H138" i="10"/>
  <c r="H205" i="10"/>
  <c r="H269" i="10"/>
  <c r="H341" i="10"/>
  <c r="H110" i="10"/>
  <c r="H198" i="10"/>
  <c r="H262" i="10"/>
  <c r="H326" i="10"/>
  <c r="H50" i="10"/>
  <c r="H114" i="10"/>
  <c r="H169" i="10"/>
  <c r="H201" i="10"/>
  <c r="H233" i="10"/>
  <c r="H265" i="10"/>
  <c r="H297" i="10"/>
  <c r="H329" i="10"/>
  <c r="H162" i="10"/>
  <c r="H226" i="10"/>
  <c r="H274" i="10"/>
  <c r="H338" i="10"/>
  <c r="H90" i="10"/>
  <c r="H189" i="10"/>
  <c r="H261" i="10"/>
  <c r="H317" i="10"/>
  <c r="H62" i="10"/>
  <c r="H174" i="10"/>
  <c r="H238" i="10"/>
  <c r="H302" i="10"/>
  <c r="H2" i="10"/>
  <c r="G15" i="10"/>
  <c r="G31" i="10"/>
  <c r="G47" i="10"/>
  <c r="G63" i="10"/>
  <c r="G79" i="10"/>
  <c r="G95" i="10"/>
  <c r="G111" i="10"/>
  <c r="G127" i="10"/>
  <c r="G143" i="10"/>
  <c r="G159" i="10"/>
  <c r="G175" i="10"/>
  <c r="G191" i="10"/>
  <c r="G207" i="10"/>
  <c r="G223" i="10"/>
  <c r="G239" i="10"/>
  <c r="G255" i="10"/>
  <c r="G271" i="10"/>
  <c r="G287" i="10"/>
  <c r="G303" i="10"/>
  <c r="G319" i="10"/>
  <c r="G335" i="10"/>
  <c r="G351" i="10"/>
  <c r="G165" i="10"/>
  <c r="G8" i="10"/>
  <c r="G24" i="10"/>
  <c r="G40" i="10"/>
  <c r="G56" i="10"/>
  <c r="G72" i="10"/>
  <c r="G88" i="10"/>
  <c r="G104" i="10"/>
  <c r="G120" i="10"/>
  <c r="G136" i="10"/>
  <c r="G152" i="10"/>
  <c r="G168" i="10"/>
  <c r="G184" i="10"/>
  <c r="G200" i="10"/>
  <c r="G216" i="10"/>
  <c r="G232" i="10"/>
  <c r="G248" i="10"/>
  <c r="G264" i="10"/>
  <c r="G280" i="10"/>
  <c r="G296" i="10"/>
  <c r="G312" i="10"/>
  <c r="G328" i="10"/>
  <c r="G344" i="10"/>
  <c r="G9" i="10"/>
  <c r="G25" i="10"/>
  <c r="G41" i="10"/>
  <c r="G57" i="10"/>
  <c r="G73" i="10"/>
  <c r="G89" i="10"/>
  <c r="G105" i="10"/>
  <c r="G121" i="10"/>
  <c r="G141" i="10"/>
  <c r="G169" i="10"/>
  <c r="G38" i="10"/>
  <c r="G102" i="10"/>
  <c r="G166" i="10"/>
  <c r="G206" i="10"/>
  <c r="G238" i="10"/>
  <c r="G270" i="10"/>
  <c r="G302" i="10"/>
  <c r="G334" i="10"/>
  <c r="G317" i="10"/>
  <c r="G26" i="10"/>
  <c r="G90" i="10"/>
  <c r="G154" i="10"/>
  <c r="G201" i="10"/>
  <c r="G233" i="10"/>
  <c r="G265" i="10"/>
  <c r="G297" i="10"/>
  <c r="G329" i="10"/>
  <c r="G30" i="10"/>
  <c r="G94" i="10"/>
  <c r="G158" i="10"/>
  <c r="G202" i="10"/>
  <c r="G234" i="10"/>
  <c r="G266" i="10"/>
  <c r="G298" i="10"/>
  <c r="G330" i="10"/>
  <c r="G34" i="10"/>
  <c r="G98" i="10"/>
  <c r="G162" i="10"/>
  <c r="G205" i="10"/>
  <c r="G237" i="10"/>
  <c r="G269" i="10"/>
  <c r="G309" i="10"/>
  <c r="F3" i="10"/>
  <c r="F19" i="10"/>
  <c r="F35" i="10"/>
  <c r="F51" i="10"/>
  <c r="F67" i="10"/>
  <c r="F83" i="10"/>
  <c r="F99" i="10"/>
  <c r="F115" i="10"/>
  <c r="F131" i="10"/>
  <c r="F147" i="10"/>
  <c r="F163" i="10"/>
  <c r="F179" i="10"/>
  <c r="F195" i="10"/>
  <c r="F211" i="10"/>
  <c r="F227" i="10"/>
  <c r="F243" i="10"/>
  <c r="F259" i="10"/>
  <c r="F275" i="10"/>
  <c r="F291" i="10"/>
  <c r="F323" i="10"/>
  <c r="F8" i="10"/>
  <c r="F32" i="10"/>
  <c r="F64" i="10"/>
  <c r="F96" i="10"/>
  <c r="F128" i="10"/>
  <c r="F160" i="10"/>
  <c r="F192" i="10"/>
  <c r="F224" i="10"/>
  <c r="F256" i="10"/>
  <c r="F14" i="10"/>
  <c r="F30" i="10"/>
  <c r="F46" i="10"/>
  <c r="F62" i="10"/>
  <c r="F78" i="10"/>
  <c r="F94" i="10"/>
  <c r="F110" i="10"/>
  <c r="F126" i="10"/>
  <c r="F142" i="10"/>
  <c r="F158" i="10"/>
  <c r="F174" i="10"/>
  <c r="F190" i="10"/>
  <c r="F206" i="10"/>
  <c r="F222" i="10"/>
  <c r="F238" i="10"/>
  <c r="F254" i="10"/>
  <c r="F270" i="10"/>
  <c r="F286" i="10"/>
  <c r="F302" i="10"/>
  <c r="F318" i="10"/>
  <c r="F334" i="10"/>
  <c r="F350" i="10"/>
  <c r="F319" i="10"/>
  <c r="F351" i="10"/>
  <c r="F36" i="10"/>
  <c r="F68" i="10"/>
  <c r="F100" i="10"/>
  <c r="F132" i="10"/>
  <c r="F164" i="10"/>
  <c r="F196" i="10"/>
  <c r="F228" i="10"/>
  <c r="F260" i="10"/>
  <c r="F53" i="10"/>
  <c r="F165" i="10"/>
  <c r="F288" i="10"/>
  <c r="F137" i="10"/>
  <c r="F265" i="10"/>
  <c r="F329" i="10"/>
  <c r="F93" i="10"/>
  <c r="F221" i="10"/>
  <c r="F308" i="10"/>
  <c r="F33" i="10"/>
  <c r="F97" i="10"/>
  <c r="F161" i="10"/>
  <c r="F225" i="10"/>
  <c r="F277" i="10"/>
  <c r="F309" i="10"/>
  <c r="F341" i="10"/>
  <c r="F149" i="10"/>
  <c r="F261" i="10"/>
  <c r="F328" i="10"/>
  <c r="F57" i="10"/>
  <c r="F185" i="10"/>
  <c r="F289" i="10"/>
  <c r="F13" i="10"/>
  <c r="F141" i="10"/>
  <c r="F268" i="10"/>
  <c r="F332" i="10"/>
  <c r="E7" i="10"/>
  <c r="E23" i="10"/>
  <c r="E39" i="10"/>
  <c r="E55" i="10"/>
  <c r="E71" i="10"/>
  <c r="E87" i="10"/>
  <c r="E103" i="10"/>
  <c r="E119" i="10"/>
  <c r="E135" i="10"/>
  <c r="E151" i="10"/>
  <c r="E167" i="10"/>
  <c r="E183" i="10"/>
  <c r="E199" i="10"/>
  <c r="E215" i="10"/>
  <c r="E231" i="10"/>
  <c r="E247" i="10"/>
  <c r="E263" i="10"/>
  <c r="E279" i="10"/>
  <c r="E295" i="10"/>
  <c r="E323" i="10"/>
  <c r="E8" i="10"/>
  <c r="E28" i="10"/>
  <c r="E60" i="10"/>
  <c r="E96" i="10"/>
  <c r="E128" i="10"/>
  <c r="E160" i="10"/>
  <c r="E192" i="10"/>
  <c r="E224" i="10"/>
  <c r="E256" i="10"/>
  <c r="E10" i="10"/>
  <c r="E26" i="10"/>
  <c r="E42" i="10"/>
  <c r="E58" i="10"/>
  <c r="E74" i="10"/>
  <c r="E90" i="10"/>
  <c r="E106" i="10"/>
  <c r="E122" i="10"/>
  <c r="E138" i="10"/>
  <c r="E154" i="10"/>
  <c r="E170" i="10"/>
  <c r="E186" i="10"/>
  <c r="E202" i="10"/>
  <c r="E218" i="10"/>
  <c r="E234" i="10"/>
  <c r="E250" i="10"/>
  <c r="E266" i="10"/>
  <c r="E282" i="10"/>
  <c r="E298" i="10"/>
  <c r="E314" i="10"/>
  <c r="E330" i="10"/>
  <c r="E346" i="10"/>
  <c r="E319" i="10"/>
  <c r="E351" i="10"/>
  <c r="E40" i="10"/>
  <c r="E68" i="10"/>
  <c r="E100" i="10"/>
  <c r="E132" i="10"/>
  <c r="E164" i="10"/>
  <c r="E196" i="10"/>
  <c r="E228" i="10"/>
  <c r="E260" i="10"/>
  <c r="E37" i="10"/>
  <c r="E101" i="10"/>
  <c r="E165" i="10"/>
  <c r="E229" i="10"/>
  <c r="E284" i="10"/>
  <c r="E316" i="10"/>
  <c r="E348" i="10"/>
  <c r="E57" i="10"/>
  <c r="E121" i="10"/>
  <c r="E185" i="10"/>
  <c r="E249" i="10"/>
  <c r="E293" i="10"/>
  <c r="E325" i="10"/>
  <c r="E13" i="10"/>
  <c r="E77" i="10"/>
  <c r="E141" i="10"/>
  <c r="E205" i="10"/>
  <c r="E269" i="10"/>
  <c r="E304" i="10"/>
  <c r="E336" i="10"/>
  <c r="E33" i="10"/>
  <c r="O314" i="10"/>
  <c r="N8" i="10"/>
  <c r="N134" i="10"/>
  <c r="N286" i="10"/>
  <c r="M139" i="10"/>
  <c r="M339" i="10"/>
  <c r="M156" i="10"/>
  <c r="M324" i="10"/>
  <c r="M145" i="10"/>
  <c r="M338" i="10"/>
  <c r="M334" i="10"/>
  <c r="M321" i="10"/>
  <c r="L3" i="10"/>
  <c r="L131" i="10"/>
  <c r="L259" i="10"/>
  <c r="L136" i="10"/>
  <c r="L70" i="10"/>
  <c r="L198" i="10"/>
  <c r="L326" i="10"/>
  <c r="L140" i="10"/>
  <c r="L268" i="10"/>
  <c r="L309" i="10"/>
  <c r="L344" i="10"/>
  <c r="K7" i="10"/>
  <c r="K135" i="10"/>
  <c r="K263" i="10"/>
  <c r="K132" i="10"/>
  <c r="K62" i="10"/>
  <c r="K190" i="10"/>
  <c r="K318" i="10"/>
  <c r="K136" i="10"/>
  <c r="K245" i="10"/>
  <c r="K137" i="10"/>
  <c r="K332" i="10"/>
  <c r="K221" i="10"/>
  <c r="K49" i="10"/>
  <c r="K288" i="10"/>
  <c r="J19" i="10"/>
  <c r="J83" i="10"/>
  <c r="J147" i="10"/>
  <c r="J259" i="10"/>
  <c r="J44" i="10"/>
  <c r="J26" i="10"/>
  <c r="J90" i="10"/>
  <c r="J154" i="10"/>
  <c r="J218" i="10"/>
  <c r="J282" i="10"/>
  <c r="J346" i="10"/>
  <c r="J279" i="10"/>
  <c r="J48" i="10"/>
  <c r="J21" i="10"/>
  <c r="J161" i="10"/>
  <c r="J25" i="10"/>
  <c r="J244" i="10"/>
  <c r="J109" i="10"/>
  <c r="J293" i="10"/>
  <c r="J128" i="10"/>
  <c r="J208" i="10"/>
  <c r="J296" i="10"/>
  <c r="J201" i="10"/>
  <c r="J345" i="10"/>
  <c r="J236" i="10"/>
  <c r="J125" i="10"/>
  <c r="J285" i="10"/>
  <c r="I23" i="10"/>
  <c r="I67" i="10"/>
  <c r="I107" i="10"/>
  <c r="I151" i="10"/>
  <c r="I195" i="10"/>
  <c r="I235" i="10"/>
  <c r="I279" i="10"/>
  <c r="I311" i="10"/>
  <c r="I343" i="10"/>
  <c r="I169" i="10"/>
  <c r="I20" i="10"/>
  <c r="I52" i="10"/>
  <c r="I84" i="10"/>
  <c r="I116" i="10"/>
  <c r="I148" i="10"/>
  <c r="I180" i="10"/>
  <c r="I212" i="10"/>
  <c r="I244" i="10"/>
  <c r="I276" i="10"/>
  <c r="I308" i="10"/>
  <c r="I340" i="10"/>
  <c r="I21" i="10"/>
  <c r="I53" i="10"/>
  <c r="I85" i="10"/>
  <c r="I121" i="10"/>
  <c r="I173" i="10"/>
  <c r="I86" i="10"/>
  <c r="I205" i="10"/>
  <c r="I269" i="10"/>
  <c r="I333" i="10"/>
  <c r="I106" i="10"/>
  <c r="I198" i="10"/>
  <c r="I238" i="10"/>
  <c r="I278" i="10"/>
  <c r="I326" i="10"/>
  <c r="I30" i="10"/>
  <c r="I110" i="10"/>
  <c r="I201" i="10"/>
  <c r="I241" i="10"/>
  <c r="I281" i="10"/>
  <c r="I329" i="10"/>
  <c r="I50" i="10"/>
  <c r="I130" i="10"/>
  <c r="I210" i="10"/>
  <c r="I250" i="10"/>
  <c r="I290" i="10"/>
  <c r="I338" i="10"/>
  <c r="H7" i="10"/>
  <c r="H27" i="10"/>
  <c r="H51" i="10"/>
  <c r="H71" i="10"/>
  <c r="H91" i="10"/>
  <c r="H115" i="10"/>
  <c r="H135" i="10"/>
  <c r="H155" i="10"/>
  <c r="H179" i="10"/>
  <c r="H199" i="10"/>
  <c r="H219" i="10"/>
  <c r="H243" i="10"/>
  <c r="H263" i="10"/>
  <c r="H283" i="10"/>
  <c r="H307" i="10"/>
  <c r="H327" i="10"/>
  <c r="H347" i="10"/>
  <c r="H20" i="10"/>
  <c r="H40" i="10"/>
  <c r="H60" i="10"/>
  <c r="H84" i="10"/>
  <c r="H104" i="10"/>
  <c r="H124" i="10"/>
  <c r="H148" i="10"/>
  <c r="H168" i="10"/>
  <c r="H188" i="10"/>
  <c r="H212" i="10"/>
  <c r="H232" i="10"/>
  <c r="H252" i="10"/>
  <c r="H276" i="10"/>
  <c r="H296" i="10"/>
  <c r="H316" i="10"/>
  <c r="H340" i="10"/>
  <c r="H5" i="10"/>
  <c r="H21" i="10"/>
  <c r="H37" i="10"/>
  <c r="H53" i="10"/>
  <c r="H69" i="10"/>
  <c r="H85" i="10"/>
  <c r="H101" i="10"/>
  <c r="H117" i="10"/>
  <c r="H133" i="10"/>
  <c r="H149" i="10"/>
  <c r="H22" i="10"/>
  <c r="H86" i="10"/>
  <c r="H170" i="10"/>
  <c r="H234" i="10"/>
  <c r="H314" i="10"/>
  <c r="H74" i="10"/>
  <c r="H181" i="10"/>
  <c r="H237" i="10"/>
  <c r="H309" i="10"/>
  <c r="H46" i="10"/>
  <c r="H166" i="10"/>
  <c r="H230" i="10"/>
  <c r="H294" i="10"/>
  <c r="H18" i="10"/>
  <c r="H82" i="10"/>
  <c r="H146" i="10"/>
  <c r="H185" i="10"/>
  <c r="H217" i="10"/>
  <c r="H249" i="10"/>
  <c r="H281" i="10"/>
  <c r="H313" i="10"/>
  <c r="H345" i="10"/>
  <c r="H194" i="10"/>
  <c r="H250" i="10"/>
  <c r="H306" i="10"/>
  <c r="H42" i="10"/>
  <c r="H154" i="10"/>
  <c r="H229" i="10"/>
  <c r="H293" i="10"/>
  <c r="H349" i="10"/>
  <c r="H126" i="10"/>
  <c r="H206" i="10"/>
  <c r="H270" i="10"/>
  <c r="H334" i="10"/>
  <c r="G7" i="10"/>
  <c r="G23" i="10"/>
  <c r="G39" i="10"/>
  <c r="G55" i="10"/>
  <c r="G71" i="10"/>
  <c r="G87" i="10"/>
  <c r="G103" i="10"/>
  <c r="G119" i="10"/>
  <c r="G135" i="10"/>
  <c r="G151" i="10"/>
  <c r="G167" i="10"/>
  <c r="G183" i="10"/>
  <c r="G199" i="10"/>
  <c r="G215" i="10"/>
  <c r="G231" i="10"/>
  <c r="G247" i="10"/>
  <c r="G263" i="10"/>
  <c r="G279" i="10"/>
  <c r="G295" i="10"/>
  <c r="G311" i="10"/>
  <c r="G327" i="10"/>
  <c r="G343" i="10"/>
  <c r="G149" i="10"/>
  <c r="G181" i="10"/>
  <c r="G16" i="10"/>
  <c r="G32" i="10"/>
  <c r="G48" i="10"/>
  <c r="G64" i="10"/>
  <c r="G80" i="10"/>
  <c r="G96" i="10"/>
  <c r="G112" i="10"/>
  <c r="G128" i="10"/>
  <c r="G144" i="10"/>
  <c r="G160" i="10"/>
  <c r="G176" i="10"/>
  <c r="G192" i="10"/>
  <c r="G208" i="10"/>
  <c r="G224" i="10"/>
  <c r="G240" i="10"/>
  <c r="G256" i="10"/>
  <c r="G272" i="10"/>
  <c r="G288" i="10"/>
  <c r="G304" i="10"/>
  <c r="G320" i="10"/>
  <c r="G336" i="10"/>
  <c r="G17" i="10"/>
  <c r="G33" i="10"/>
  <c r="G49" i="10"/>
  <c r="G65" i="10"/>
  <c r="G81" i="10"/>
  <c r="G97" i="10"/>
  <c r="G113" i="10"/>
  <c r="G133" i="10"/>
  <c r="G153" i="10"/>
  <c r="G6" i="10"/>
  <c r="G70" i="10"/>
  <c r="G134" i="10"/>
  <c r="G190" i="10"/>
  <c r="G222" i="10"/>
  <c r="G254" i="10"/>
  <c r="G286" i="10"/>
  <c r="G318" i="10"/>
  <c r="G350" i="10"/>
  <c r="G349" i="10"/>
  <c r="G58" i="10"/>
  <c r="G122" i="10"/>
  <c r="G185" i="10"/>
  <c r="G217" i="10"/>
  <c r="G249" i="10"/>
  <c r="G281" i="10"/>
  <c r="G313" i="10"/>
  <c r="G345" i="10"/>
  <c r="G62" i="10"/>
  <c r="G126" i="10"/>
  <c r="G186" i="10"/>
  <c r="G218" i="10"/>
  <c r="G250" i="10"/>
  <c r="G282" i="10"/>
  <c r="G314" i="10"/>
  <c r="G346" i="10"/>
  <c r="G66" i="10"/>
  <c r="G130" i="10"/>
  <c r="G189" i="10"/>
  <c r="G221" i="10"/>
  <c r="G253" i="10"/>
  <c r="G285" i="10"/>
  <c r="G341" i="10"/>
  <c r="F11" i="10"/>
  <c r="F27" i="10"/>
  <c r="F43" i="10"/>
  <c r="F59" i="10"/>
  <c r="F75" i="10"/>
  <c r="F91" i="10"/>
  <c r="F107" i="10"/>
  <c r="F123" i="10"/>
  <c r="F139" i="10"/>
  <c r="F155" i="10"/>
  <c r="F171" i="10"/>
  <c r="F187" i="10"/>
  <c r="F203" i="10"/>
  <c r="F219" i="10"/>
  <c r="F235" i="10"/>
  <c r="F251" i="10"/>
  <c r="F267" i="10"/>
  <c r="F283" i="10"/>
  <c r="F307" i="10"/>
  <c r="F339" i="10"/>
  <c r="F16" i="10"/>
  <c r="F48" i="10"/>
  <c r="F80" i="10"/>
  <c r="F112" i="10"/>
  <c r="F144" i="10"/>
  <c r="F176" i="10"/>
  <c r="F208" i="10"/>
  <c r="F240" i="10"/>
  <c r="F6" i="10"/>
  <c r="F22" i="10"/>
  <c r="F38" i="10"/>
  <c r="F54" i="10"/>
  <c r="F70" i="10"/>
  <c r="F86" i="10"/>
  <c r="F102" i="10"/>
  <c r="F118" i="10"/>
  <c r="F134" i="10"/>
  <c r="F150" i="10"/>
  <c r="F166" i="10"/>
  <c r="F182" i="10"/>
  <c r="F198" i="10"/>
  <c r="F214" i="10"/>
  <c r="F230" i="10"/>
  <c r="F246" i="10"/>
  <c r="F262" i="10"/>
  <c r="F278" i="10"/>
  <c r="F294" i="10"/>
  <c r="F310" i="10"/>
  <c r="F326" i="10"/>
  <c r="F342" i="10"/>
  <c r="F303" i="10"/>
  <c r="F335" i="10"/>
  <c r="F20" i="10"/>
  <c r="F52" i="10"/>
  <c r="F84" i="10"/>
  <c r="F116" i="10"/>
  <c r="F148" i="10"/>
  <c r="F180" i="10"/>
  <c r="F212" i="10"/>
  <c r="F244" i="10"/>
  <c r="F21" i="10"/>
  <c r="F101" i="10"/>
  <c r="F245" i="10"/>
  <c r="F320" i="10"/>
  <c r="F73" i="10"/>
  <c r="F201" i="10"/>
  <c r="F297" i="10"/>
  <c r="F29" i="10"/>
  <c r="F157" i="10"/>
  <c r="F276" i="10"/>
  <c r="F340" i="10"/>
  <c r="F65" i="10"/>
  <c r="F129" i="10"/>
  <c r="F193" i="10"/>
  <c r="F257" i="10"/>
  <c r="F293" i="10"/>
  <c r="F325" i="10"/>
  <c r="F85" i="10"/>
  <c r="F213" i="10"/>
  <c r="F296" i="10"/>
  <c r="F9" i="10"/>
  <c r="F121" i="10"/>
  <c r="F249" i="10"/>
  <c r="F321" i="10"/>
  <c r="F77" i="10"/>
  <c r="F205" i="10"/>
  <c r="F300" i="10"/>
  <c r="F2" i="10"/>
  <c r="E15" i="10"/>
  <c r="E31" i="10"/>
  <c r="E47" i="10"/>
  <c r="E63" i="10"/>
  <c r="E79" i="10"/>
  <c r="E95" i="10"/>
  <c r="E111" i="10"/>
  <c r="E127" i="10"/>
  <c r="E143" i="10"/>
  <c r="E159" i="10"/>
  <c r="E175" i="10"/>
  <c r="E191" i="10"/>
  <c r="E207" i="10"/>
  <c r="E223" i="10"/>
  <c r="E239" i="10"/>
  <c r="E255" i="10"/>
  <c r="E271" i="10"/>
  <c r="E287" i="10"/>
  <c r="E307" i="10"/>
  <c r="E339" i="10"/>
  <c r="E16" i="10"/>
  <c r="E44" i="10"/>
  <c r="E80" i="10"/>
  <c r="E112" i="10"/>
  <c r="E144" i="10"/>
  <c r="E176" i="10"/>
  <c r="E208" i="10"/>
  <c r="E240" i="10"/>
  <c r="E272" i="10"/>
  <c r="E18" i="10"/>
  <c r="E34" i="10"/>
  <c r="E50" i="10"/>
  <c r="E66" i="10"/>
  <c r="E82" i="10"/>
  <c r="E98" i="10"/>
  <c r="E114" i="10"/>
  <c r="E130" i="10"/>
  <c r="E146" i="10"/>
  <c r="E162" i="10"/>
  <c r="E178" i="10"/>
  <c r="E194" i="10"/>
  <c r="E210" i="10"/>
  <c r="E226" i="10"/>
  <c r="E242" i="10"/>
  <c r="E258" i="10"/>
  <c r="E274" i="10"/>
  <c r="E290" i="10"/>
  <c r="E306" i="10"/>
  <c r="E322" i="10"/>
  <c r="E338" i="10"/>
  <c r="E299" i="10"/>
  <c r="E335" i="10"/>
  <c r="E20" i="10"/>
  <c r="E56" i="10"/>
  <c r="E84" i="10"/>
  <c r="E116" i="10"/>
  <c r="E148" i="10"/>
  <c r="E180" i="10"/>
  <c r="E212" i="10"/>
  <c r="E244" i="10"/>
  <c r="E5" i="10"/>
  <c r="E69" i="10"/>
  <c r="E133" i="10"/>
  <c r="E197" i="10"/>
  <c r="E261" i="10"/>
  <c r="E300" i="10"/>
  <c r="E332" i="10"/>
  <c r="E25" i="10"/>
  <c r="E89" i="10"/>
  <c r="E153" i="10"/>
  <c r="E217" i="10"/>
  <c r="E277" i="10"/>
  <c r="E309" i="10"/>
  <c r="E341" i="10"/>
  <c r="E45" i="10"/>
  <c r="E109" i="10"/>
  <c r="E173" i="10"/>
  <c r="E237" i="10"/>
  <c r="E288" i="10"/>
  <c r="E320" i="10"/>
  <c r="E65" i="10"/>
  <c r="E129" i="10"/>
  <c r="E193" i="10"/>
  <c r="E257" i="10"/>
  <c r="E297" i="10"/>
  <c r="E329" i="10"/>
  <c r="D3" i="10"/>
  <c r="D19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5" i="10"/>
  <c r="D323" i="10"/>
  <c r="D8" i="10"/>
  <c r="D32" i="10"/>
  <c r="D60" i="10"/>
  <c r="D92" i="10"/>
  <c r="D124" i="10"/>
  <c r="D156" i="10"/>
  <c r="D188" i="10"/>
  <c r="D220" i="10"/>
  <c r="D252" i="10"/>
  <c r="D10" i="10"/>
  <c r="D26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11" i="10"/>
  <c r="D343" i="10"/>
  <c r="D28" i="10"/>
  <c r="D64" i="10"/>
  <c r="D96" i="10"/>
  <c r="D128" i="10"/>
  <c r="D160" i="10"/>
  <c r="D192" i="10"/>
  <c r="D224" i="10"/>
  <c r="O58" i="10"/>
  <c r="N105" i="10"/>
  <c r="M87" i="10"/>
  <c r="M112" i="10"/>
  <c r="M101" i="10"/>
  <c r="M270" i="10"/>
  <c r="M258" i="10"/>
  <c r="L227" i="10"/>
  <c r="L38" i="10"/>
  <c r="L294" i="10"/>
  <c r="L149" i="10"/>
  <c r="L280" i="10"/>
  <c r="K103" i="10"/>
  <c r="K68" i="10"/>
  <c r="K158" i="10"/>
  <c r="K72" i="10"/>
  <c r="K73" i="10"/>
  <c r="K157" i="10"/>
  <c r="K241" i="10"/>
  <c r="J67" i="10"/>
  <c r="J227" i="10"/>
  <c r="J10" i="10"/>
  <c r="J138" i="10"/>
  <c r="J266" i="10"/>
  <c r="J247" i="10"/>
  <c r="J112" i="10"/>
  <c r="J305" i="10"/>
  <c r="J45" i="10"/>
  <c r="J81" i="10"/>
  <c r="J272" i="10"/>
  <c r="J313" i="10"/>
  <c r="J29" i="10"/>
  <c r="I11" i="10"/>
  <c r="I99" i="10"/>
  <c r="I183" i="10"/>
  <c r="I267" i="10"/>
  <c r="I335" i="10"/>
  <c r="I12" i="10"/>
  <c r="I76" i="10"/>
  <c r="I140" i="10"/>
  <c r="I204" i="10"/>
  <c r="I268" i="10"/>
  <c r="I332" i="10"/>
  <c r="I45" i="10"/>
  <c r="I109" i="10"/>
  <c r="I54" i="10"/>
  <c r="I253" i="10"/>
  <c r="I74" i="10"/>
  <c r="I230" i="10"/>
  <c r="I310" i="10"/>
  <c r="I94" i="10"/>
  <c r="I233" i="10"/>
  <c r="I313" i="10"/>
  <c r="I114" i="10"/>
  <c r="I242" i="10"/>
  <c r="I322" i="10"/>
  <c r="H23" i="10"/>
  <c r="H67" i="10"/>
  <c r="H107" i="10"/>
  <c r="H151" i="10"/>
  <c r="H195" i="10"/>
  <c r="H235" i="10"/>
  <c r="H279" i="10"/>
  <c r="H323" i="10"/>
  <c r="H12" i="10"/>
  <c r="H56" i="10"/>
  <c r="H100" i="10"/>
  <c r="H140" i="10"/>
  <c r="H184" i="10"/>
  <c r="H228" i="10"/>
  <c r="H268" i="10"/>
  <c r="H312" i="10"/>
  <c r="H33" i="10"/>
  <c r="H65" i="10"/>
  <c r="H97" i="10"/>
  <c r="H129" i="10"/>
  <c r="H6" i="10"/>
  <c r="H150" i="10"/>
  <c r="H298" i="10"/>
  <c r="H165" i="10"/>
  <c r="H285" i="10"/>
  <c r="H142" i="10"/>
  <c r="H278" i="10"/>
  <c r="H66" i="10"/>
  <c r="H177" i="10"/>
  <c r="H241" i="10"/>
  <c r="H305" i="10"/>
  <c r="H178" i="10"/>
  <c r="H290" i="10"/>
  <c r="H122" i="10"/>
  <c r="H277" i="10"/>
  <c r="H94" i="10"/>
  <c r="H254" i="10"/>
  <c r="G3" i="10"/>
  <c r="G35" i="10"/>
  <c r="G67" i="10"/>
  <c r="G99" i="10"/>
  <c r="G131" i="10"/>
  <c r="G163" i="10"/>
  <c r="G195" i="10"/>
  <c r="G227" i="10"/>
  <c r="G259" i="10"/>
  <c r="G291" i="10"/>
  <c r="G323" i="10"/>
  <c r="G129" i="10"/>
  <c r="G12" i="10"/>
  <c r="G44" i="10"/>
  <c r="G76" i="10"/>
  <c r="G108" i="10"/>
  <c r="G140" i="10"/>
  <c r="G172" i="10"/>
  <c r="G204" i="10"/>
  <c r="G236" i="10"/>
  <c r="G268" i="10"/>
  <c r="G300" i="10"/>
  <c r="G332" i="10"/>
  <c r="G13" i="10"/>
  <c r="G45" i="10"/>
  <c r="G77" i="10"/>
  <c r="G109" i="10"/>
  <c r="G145" i="10"/>
  <c r="G54" i="10"/>
  <c r="G182" i="10"/>
  <c r="G246" i="10"/>
  <c r="G310" i="10"/>
  <c r="G333" i="10"/>
  <c r="G106" i="10"/>
  <c r="G209" i="10"/>
  <c r="G273" i="10"/>
  <c r="G337" i="10"/>
  <c r="G110" i="10"/>
  <c r="G210" i="10"/>
  <c r="G274" i="10"/>
  <c r="G338" i="10"/>
  <c r="G114" i="10"/>
  <c r="G213" i="10"/>
  <c r="G277" i="10"/>
  <c r="F7" i="10"/>
  <c r="F39" i="10"/>
  <c r="F71" i="10"/>
  <c r="F103" i="10"/>
  <c r="F135" i="10"/>
  <c r="F167" i="10"/>
  <c r="F199" i="10"/>
  <c r="F231" i="10"/>
  <c r="F263" i="10"/>
  <c r="F299" i="10"/>
  <c r="F12" i="10"/>
  <c r="F72" i="10"/>
  <c r="F136" i="10"/>
  <c r="F200" i="10"/>
  <c r="F264" i="10"/>
  <c r="F34" i="10"/>
  <c r="F66" i="10"/>
  <c r="F98" i="10"/>
  <c r="F130" i="10"/>
  <c r="F162" i="10"/>
  <c r="F194" i="10"/>
  <c r="F226" i="10"/>
  <c r="F258" i="10"/>
  <c r="F290" i="10"/>
  <c r="F322" i="10"/>
  <c r="F295" i="10"/>
  <c r="F4" i="10"/>
  <c r="F76" i="10"/>
  <c r="F140" i="10"/>
  <c r="F204" i="10"/>
  <c r="F5" i="10"/>
  <c r="F197" i="10"/>
  <c r="F25" i="10"/>
  <c r="F281" i="10"/>
  <c r="F125" i="10"/>
  <c r="F324" i="10"/>
  <c r="F113" i="10"/>
  <c r="F241" i="10"/>
  <c r="F317" i="10"/>
  <c r="F181" i="10"/>
  <c r="F344" i="10"/>
  <c r="F217" i="10"/>
  <c r="F45" i="10"/>
  <c r="F284" i="10"/>
  <c r="E11" i="10"/>
  <c r="E43" i="10"/>
  <c r="E75" i="10"/>
  <c r="E107" i="10"/>
  <c r="E139" i="10"/>
  <c r="E171" i="10"/>
  <c r="E203" i="10"/>
  <c r="E235" i="10"/>
  <c r="E267" i="10"/>
  <c r="E303" i="10"/>
  <c r="E12" i="10"/>
  <c r="E72" i="10"/>
  <c r="E136" i="10"/>
  <c r="E200" i="10"/>
  <c r="E264" i="10"/>
  <c r="E30" i="10"/>
  <c r="E62" i="10"/>
  <c r="E94" i="10"/>
  <c r="E126" i="10"/>
  <c r="E158" i="10"/>
  <c r="E190" i="10"/>
  <c r="E222" i="10"/>
  <c r="E254" i="10"/>
  <c r="E286" i="10"/>
  <c r="E318" i="10"/>
  <c r="E350" i="10"/>
  <c r="E4" i="10"/>
  <c r="E76" i="10"/>
  <c r="E140" i="10"/>
  <c r="E204" i="10"/>
  <c r="E268" i="10"/>
  <c r="E117" i="10"/>
  <c r="E245" i="10"/>
  <c r="E324" i="10"/>
  <c r="E73" i="10"/>
  <c r="E201" i="10"/>
  <c r="E301" i="10"/>
  <c r="E29" i="10"/>
  <c r="E157" i="10"/>
  <c r="E280" i="10"/>
  <c r="E344" i="10"/>
  <c r="E97" i="10"/>
  <c r="E177" i="10"/>
  <c r="E273" i="10"/>
  <c r="E313" i="10"/>
  <c r="E2" i="10"/>
  <c r="D23" i="10"/>
  <c r="D43" i="10"/>
  <c r="D63" i="10"/>
  <c r="D87" i="10"/>
  <c r="D107" i="10"/>
  <c r="D127" i="10"/>
  <c r="D151" i="10"/>
  <c r="D171" i="10"/>
  <c r="D191" i="10"/>
  <c r="D215" i="10"/>
  <c r="D235" i="10"/>
  <c r="D255" i="10"/>
  <c r="D279" i="10"/>
  <c r="D307" i="10"/>
  <c r="D347" i="10"/>
  <c r="D40" i="10"/>
  <c r="D76" i="10"/>
  <c r="D116" i="10"/>
  <c r="D164" i="10"/>
  <c r="D204" i="10"/>
  <c r="D244" i="10"/>
  <c r="D14" i="10"/>
  <c r="D34" i="10"/>
  <c r="D54" i="10"/>
  <c r="D78" i="10"/>
  <c r="D98" i="10"/>
  <c r="D118" i="10"/>
  <c r="D142" i="10"/>
  <c r="D162" i="10"/>
  <c r="D182" i="10"/>
  <c r="D206" i="10"/>
  <c r="D226" i="10"/>
  <c r="D246" i="10"/>
  <c r="D270" i="10"/>
  <c r="D290" i="10"/>
  <c r="D310" i="10"/>
  <c r="D334" i="10"/>
  <c r="D291" i="10"/>
  <c r="D335" i="10"/>
  <c r="D36" i="10"/>
  <c r="D80" i="10"/>
  <c r="D120" i="10"/>
  <c r="D168" i="10"/>
  <c r="D208" i="10"/>
  <c r="D248" i="10"/>
  <c r="D21" i="10"/>
  <c r="D85" i="10"/>
  <c r="D149" i="10"/>
  <c r="D213" i="10"/>
  <c r="D273" i="10"/>
  <c r="D305" i="10"/>
  <c r="D337" i="10"/>
  <c r="D113" i="10"/>
  <c r="D241" i="10"/>
  <c r="D320" i="10"/>
  <c r="D25" i="10"/>
  <c r="D89" i="10"/>
  <c r="D153" i="10"/>
  <c r="D217" i="10"/>
  <c r="D276" i="10"/>
  <c r="D308" i="10"/>
  <c r="D340" i="10"/>
  <c r="D45" i="10"/>
  <c r="D109" i="10"/>
  <c r="D173" i="10"/>
  <c r="D237" i="10"/>
  <c r="D285" i="10"/>
  <c r="D317" i="10"/>
  <c r="D17" i="10"/>
  <c r="D97" i="10"/>
  <c r="D225" i="10"/>
  <c r="D312" i="10"/>
  <c r="O57" i="10"/>
  <c r="N330" i="10"/>
  <c r="M199" i="10"/>
  <c r="M196" i="10"/>
  <c r="M118" i="10"/>
  <c r="M94" i="10"/>
  <c r="L35" i="10"/>
  <c r="L295" i="10"/>
  <c r="L102" i="10"/>
  <c r="L299" i="10"/>
  <c r="L332" i="10"/>
  <c r="L113" i="10"/>
  <c r="K167" i="10"/>
  <c r="K196" i="10"/>
  <c r="K222" i="10"/>
  <c r="K200" i="10"/>
  <c r="K201" i="10"/>
  <c r="K277" i="10"/>
  <c r="K320" i="10"/>
  <c r="J99" i="10"/>
  <c r="J291" i="10"/>
  <c r="J42" i="10"/>
  <c r="J170" i="10"/>
  <c r="J298" i="10"/>
  <c r="J307" i="10"/>
  <c r="J53" i="10"/>
  <c r="J105" i="10"/>
  <c r="J165" i="10"/>
  <c r="J144" i="10"/>
  <c r="J320" i="10"/>
  <c r="J89" i="10"/>
  <c r="J157" i="10"/>
  <c r="I35" i="10"/>
  <c r="I119" i="10"/>
  <c r="I203" i="10"/>
  <c r="I287" i="10"/>
  <c r="I351" i="10"/>
  <c r="I28" i="10"/>
  <c r="I92" i="10"/>
  <c r="I156" i="10"/>
  <c r="I220" i="10"/>
  <c r="I284" i="10"/>
  <c r="I348" i="10"/>
  <c r="I61" i="10"/>
  <c r="I129" i="10"/>
  <c r="I118" i="10"/>
  <c r="I285" i="10"/>
  <c r="I138" i="10"/>
  <c r="I246" i="10"/>
  <c r="I334" i="10"/>
  <c r="I142" i="10"/>
  <c r="I249" i="10"/>
  <c r="I337" i="10"/>
  <c r="I162" i="10"/>
  <c r="I258" i="10"/>
  <c r="I346" i="10"/>
  <c r="H35" i="10"/>
  <c r="H75" i="10"/>
  <c r="H119" i="10"/>
  <c r="H163" i="10"/>
  <c r="H203" i="10"/>
  <c r="H247" i="10"/>
  <c r="H291" i="10"/>
  <c r="H331" i="10"/>
  <c r="H24" i="10"/>
  <c r="H68" i="10"/>
  <c r="H108" i="10"/>
  <c r="H152" i="10"/>
  <c r="H196" i="10"/>
  <c r="H236" i="10"/>
  <c r="H280" i="10"/>
  <c r="H324" i="10"/>
  <c r="H9" i="10"/>
  <c r="H41" i="10"/>
  <c r="H73" i="10"/>
  <c r="H105" i="10"/>
  <c r="H137" i="10"/>
  <c r="H38" i="10"/>
  <c r="H186" i="10"/>
  <c r="H330" i="10"/>
  <c r="H197" i="10"/>
  <c r="H325" i="10"/>
  <c r="H182" i="10"/>
  <c r="H310" i="10"/>
  <c r="H98" i="10"/>
  <c r="H193" i="10"/>
  <c r="H257" i="10"/>
  <c r="H321" i="10"/>
  <c r="H210" i="10"/>
  <c r="H322" i="10"/>
  <c r="H173" i="10"/>
  <c r="H301" i="10"/>
  <c r="H158" i="10"/>
  <c r="H286" i="10"/>
  <c r="G11" i="10"/>
  <c r="G43" i="10"/>
  <c r="G75" i="10"/>
  <c r="G107" i="10"/>
  <c r="G139" i="10"/>
  <c r="G171" i="10"/>
  <c r="G203" i="10"/>
  <c r="G235" i="10"/>
  <c r="G267" i="10"/>
  <c r="G299" i="10"/>
  <c r="G331" i="10"/>
  <c r="G157" i="10"/>
  <c r="G20" i="10"/>
  <c r="G52" i="10"/>
  <c r="G116" i="10"/>
  <c r="G148" i="10"/>
  <c r="G180" i="10"/>
  <c r="G212" i="10"/>
  <c r="G244" i="10"/>
  <c r="G276" i="10"/>
  <c r="G308" i="10"/>
  <c r="G340" i="10"/>
  <c r="G21" i="10"/>
  <c r="G53" i="10"/>
  <c r="G85" i="10"/>
  <c r="G117" i="10"/>
  <c r="G86" i="10"/>
  <c r="G198" i="10"/>
  <c r="G326" i="10"/>
  <c r="G138" i="10"/>
  <c r="G289" i="10"/>
  <c r="G142" i="10"/>
  <c r="G18" i="10"/>
  <c r="G229" i="10"/>
  <c r="F15" i="10"/>
  <c r="F79" i="10"/>
  <c r="F143" i="10"/>
  <c r="F207" i="10"/>
  <c r="F315" i="10"/>
  <c r="F88" i="10"/>
  <c r="F216" i="10"/>
  <c r="F42" i="10"/>
  <c r="F138" i="10"/>
  <c r="F202" i="10"/>
  <c r="F266" i="10"/>
  <c r="F330" i="10"/>
  <c r="F28" i="10"/>
  <c r="F156" i="10"/>
  <c r="F272" i="10"/>
  <c r="F313" i="10"/>
  <c r="F17" i="10"/>
  <c r="F269" i="10"/>
  <c r="F41" i="10"/>
  <c r="F109" i="10"/>
  <c r="E19" i="10"/>
  <c r="E83" i="10"/>
  <c r="E147" i="10"/>
  <c r="E211" i="10"/>
  <c r="E275" i="10"/>
  <c r="E88" i="10"/>
  <c r="E216" i="10"/>
  <c r="E38" i="10"/>
  <c r="E102" i="10"/>
  <c r="E198" i="10"/>
  <c r="E262" i="10"/>
  <c r="E311" i="10"/>
  <c r="E92" i="10"/>
  <c r="E220" i="10"/>
  <c r="E276" i="10"/>
  <c r="E105" i="10"/>
  <c r="E317" i="10"/>
  <c r="E296" i="10"/>
  <c r="E113" i="10"/>
  <c r="E281" i="10"/>
  <c r="D27" i="10"/>
  <c r="D71" i="10"/>
  <c r="D111" i="10"/>
  <c r="D155" i="10"/>
  <c r="D199" i="10"/>
  <c r="D239" i="10"/>
  <c r="D315" i="10"/>
  <c r="D48" i="10"/>
  <c r="D132" i="10"/>
  <c r="D212" i="10"/>
  <c r="D38" i="10"/>
  <c r="D82" i="10"/>
  <c r="D126" i="10"/>
  <c r="D166" i="10"/>
  <c r="D210" i="10"/>
  <c r="D254" i="10"/>
  <c r="D294" i="10"/>
  <c r="D338" i="10"/>
  <c r="D351" i="10"/>
  <c r="D88" i="10"/>
  <c r="D176" i="10"/>
  <c r="D256" i="10"/>
  <c r="D165" i="10"/>
  <c r="D281" i="10"/>
  <c r="D345" i="10"/>
  <c r="D272" i="10"/>
  <c r="D41" i="10"/>
  <c r="D169" i="10"/>
  <c r="D284" i="10"/>
  <c r="D348" i="10"/>
  <c r="D125" i="10"/>
  <c r="D253" i="10"/>
  <c r="D325" i="10"/>
  <c r="D129" i="10"/>
  <c r="D328" i="10"/>
  <c r="N135" i="10"/>
  <c r="N46" i="10"/>
  <c r="M295" i="10"/>
  <c r="M284" i="10"/>
  <c r="M309" i="10"/>
  <c r="M257" i="10"/>
  <c r="L99" i="10"/>
  <c r="L72" i="10"/>
  <c r="L166" i="10"/>
  <c r="L76" i="10"/>
  <c r="L233" i="10"/>
  <c r="L313" i="10"/>
  <c r="K231" i="10"/>
  <c r="K30" i="10"/>
  <c r="K286" i="10"/>
  <c r="K117" i="10"/>
  <c r="K300" i="10"/>
  <c r="K341" i="10"/>
  <c r="J3" i="10"/>
  <c r="J131" i="10"/>
  <c r="J8" i="10"/>
  <c r="J74" i="10"/>
  <c r="J202" i="10"/>
  <c r="J330" i="10"/>
  <c r="J16" i="10"/>
  <c r="J137" i="10"/>
  <c r="J196" i="10"/>
  <c r="J237" i="10"/>
  <c r="J192" i="10"/>
  <c r="J153" i="10"/>
  <c r="J188" i="10"/>
  <c r="J253" i="10"/>
  <c r="I55" i="10"/>
  <c r="I139" i="10"/>
  <c r="I227" i="10"/>
  <c r="I303" i="10"/>
  <c r="I153" i="10"/>
  <c r="I44" i="10"/>
  <c r="I108" i="10"/>
  <c r="I172" i="10"/>
  <c r="I236" i="10"/>
  <c r="I300" i="10"/>
  <c r="I13" i="10"/>
  <c r="I77" i="10"/>
  <c r="I157" i="10"/>
  <c r="I182" i="10"/>
  <c r="I317" i="10"/>
  <c r="I170" i="10"/>
  <c r="I270" i="10"/>
  <c r="I14" i="10"/>
  <c r="I174" i="10"/>
  <c r="I273" i="10"/>
  <c r="I34" i="10"/>
  <c r="I194" i="10"/>
  <c r="I282" i="10"/>
  <c r="H3" i="10"/>
  <c r="H43" i="10"/>
  <c r="H87" i="10"/>
  <c r="H131" i="10"/>
  <c r="H171" i="10"/>
  <c r="H215" i="10"/>
  <c r="H259" i="10"/>
  <c r="H299" i="10"/>
  <c r="H343" i="10"/>
  <c r="H36" i="10"/>
  <c r="H76" i="10"/>
  <c r="H120" i="10"/>
  <c r="H164" i="10"/>
  <c r="H204" i="10"/>
  <c r="H248" i="10"/>
  <c r="H292" i="10"/>
  <c r="H332" i="10"/>
  <c r="H17" i="10"/>
  <c r="H49" i="10"/>
  <c r="H81" i="10"/>
  <c r="H113" i="10"/>
  <c r="H145" i="10"/>
  <c r="H70" i="10"/>
  <c r="H218" i="10"/>
  <c r="H26" i="10"/>
  <c r="H221" i="10"/>
  <c r="H14" i="10"/>
  <c r="H214" i="10"/>
  <c r="H342" i="10"/>
  <c r="H130" i="10"/>
  <c r="H209" i="10"/>
  <c r="H273" i="10"/>
  <c r="H337" i="10"/>
  <c r="H242" i="10"/>
  <c r="H10" i="10"/>
  <c r="H213" i="10"/>
  <c r="H333" i="10"/>
  <c r="H190" i="10"/>
  <c r="H318" i="10"/>
  <c r="G19" i="10"/>
  <c r="G51" i="10"/>
  <c r="G83" i="10"/>
  <c r="G115" i="10"/>
  <c r="G147" i="10"/>
  <c r="G179" i="10"/>
  <c r="G211" i="10"/>
  <c r="G243" i="10"/>
  <c r="G275" i="10"/>
  <c r="G307" i="10"/>
  <c r="G339" i="10"/>
  <c r="G173" i="10"/>
  <c r="G28" i="10"/>
  <c r="G60" i="10"/>
  <c r="G92" i="10"/>
  <c r="G124" i="10"/>
  <c r="G156" i="10"/>
  <c r="G188" i="10"/>
  <c r="G220" i="10"/>
  <c r="G252" i="10"/>
  <c r="G284" i="10"/>
  <c r="G316" i="10"/>
  <c r="G348" i="10"/>
  <c r="G29" i="10"/>
  <c r="G61" i="10"/>
  <c r="G93" i="10"/>
  <c r="G125" i="10"/>
  <c r="G177" i="10"/>
  <c r="G118" i="10"/>
  <c r="G214" i="10"/>
  <c r="G278" i="10"/>
  <c r="G342" i="10"/>
  <c r="G42" i="10"/>
  <c r="G170" i="10"/>
  <c r="G241" i="10"/>
  <c r="G305" i="10"/>
  <c r="G46" i="10"/>
  <c r="G174" i="10"/>
  <c r="G242" i="10"/>
  <c r="G306" i="10"/>
  <c r="G50" i="10"/>
  <c r="G178" i="10"/>
  <c r="G245" i="10"/>
  <c r="G325" i="10"/>
  <c r="F23" i="10"/>
  <c r="F55" i="10"/>
  <c r="F87" i="10"/>
  <c r="F119" i="10"/>
  <c r="F151" i="10"/>
  <c r="F183" i="10"/>
  <c r="F215" i="10"/>
  <c r="F247" i="10"/>
  <c r="F279" i="10"/>
  <c r="F331" i="10"/>
  <c r="F40" i="10"/>
  <c r="F104" i="10"/>
  <c r="F168" i="10"/>
  <c r="F232" i="10"/>
  <c r="F18" i="10"/>
  <c r="F50" i="10"/>
  <c r="F82" i="10"/>
  <c r="F114" i="10"/>
  <c r="F146" i="10"/>
  <c r="F178" i="10"/>
  <c r="F210" i="10"/>
  <c r="F242" i="10"/>
  <c r="F274" i="10"/>
  <c r="F306" i="10"/>
  <c r="F338" i="10"/>
  <c r="F327" i="10"/>
  <c r="F44" i="10"/>
  <c r="F108" i="10"/>
  <c r="F172" i="10"/>
  <c r="F236" i="10"/>
  <c r="F69" i="10"/>
  <c r="F304" i="10"/>
  <c r="F169" i="10"/>
  <c r="F345" i="10"/>
  <c r="F253" i="10"/>
  <c r="F49" i="10"/>
  <c r="F177" i="10"/>
  <c r="F285" i="10"/>
  <c r="F349" i="10"/>
  <c r="F280" i="10"/>
  <c r="F89" i="10"/>
  <c r="F305" i="10"/>
  <c r="F173" i="10"/>
  <c r="F348" i="10"/>
  <c r="E27" i="10"/>
  <c r="E59" i="10"/>
  <c r="E91" i="10"/>
  <c r="E123" i="10"/>
  <c r="E155" i="10"/>
  <c r="E187" i="10"/>
  <c r="E219" i="10"/>
  <c r="E251" i="10"/>
  <c r="E283" i="10"/>
  <c r="E331" i="10"/>
  <c r="E36" i="10"/>
  <c r="E104" i="10"/>
  <c r="E168" i="10"/>
  <c r="E232" i="10"/>
  <c r="E14" i="10"/>
  <c r="E46" i="10"/>
  <c r="E78" i="10"/>
  <c r="E110" i="10"/>
  <c r="E142" i="10"/>
  <c r="E174" i="10"/>
  <c r="E206" i="10"/>
  <c r="E238" i="10"/>
  <c r="E270" i="10"/>
  <c r="E302" i="10"/>
  <c r="E334" i="10"/>
  <c r="E327" i="10"/>
  <c r="E48" i="10"/>
  <c r="E108" i="10"/>
  <c r="E172" i="10"/>
  <c r="E236" i="10"/>
  <c r="E53" i="10"/>
  <c r="E181" i="10"/>
  <c r="E292" i="10"/>
  <c r="E9" i="10"/>
  <c r="E137" i="10"/>
  <c r="E265" i="10"/>
  <c r="E333" i="10"/>
  <c r="E93" i="10"/>
  <c r="E221" i="10"/>
  <c r="E312" i="10"/>
  <c r="E49" i="10"/>
  <c r="E145" i="10"/>
  <c r="E225" i="10"/>
  <c r="E289" i="10"/>
  <c r="E337" i="10"/>
  <c r="D11" i="10"/>
  <c r="D31" i="10"/>
  <c r="D55" i="10"/>
  <c r="D75" i="10"/>
  <c r="D95" i="10"/>
  <c r="D119" i="10"/>
  <c r="D139" i="10"/>
  <c r="D159" i="10"/>
  <c r="D183" i="10"/>
  <c r="D203" i="10"/>
  <c r="D223" i="10"/>
  <c r="D247" i="10"/>
  <c r="D267" i="10"/>
  <c r="D287" i="10"/>
  <c r="D331" i="10"/>
  <c r="D16" i="10"/>
  <c r="D56" i="10"/>
  <c r="D100" i="10"/>
  <c r="D140" i="10"/>
  <c r="D180" i="10"/>
  <c r="D228" i="10"/>
  <c r="D268" i="10"/>
  <c r="D22" i="10"/>
  <c r="D46" i="10"/>
  <c r="D66" i="10"/>
  <c r="D86" i="10"/>
  <c r="D110" i="10"/>
  <c r="D130" i="10"/>
  <c r="D150" i="10"/>
  <c r="D174" i="10"/>
  <c r="D194" i="10"/>
  <c r="D214" i="10"/>
  <c r="D238" i="10"/>
  <c r="D258" i="10"/>
  <c r="D278" i="10"/>
  <c r="D302" i="10"/>
  <c r="D322" i="10"/>
  <c r="D342" i="10"/>
  <c r="D319" i="10"/>
  <c r="D4" i="10"/>
  <c r="D52" i="10"/>
  <c r="D104" i="10"/>
  <c r="D144" i="10"/>
  <c r="D184" i="10"/>
  <c r="D232" i="10"/>
  <c r="D264" i="10"/>
  <c r="D53" i="10"/>
  <c r="D117" i="10"/>
  <c r="D181" i="10"/>
  <c r="D245" i="10"/>
  <c r="D289" i="10"/>
  <c r="D321" i="10"/>
  <c r="D349" i="10"/>
  <c r="D177" i="10"/>
  <c r="D288" i="10"/>
  <c r="D344" i="10"/>
  <c r="D57" i="10"/>
  <c r="D121" i="10"/>
  <c r="D185" i="10"/>
  <c r="D249" i="10"/>
  <c r="D292" i="10"/>
  <c r="D324" i="10"/>
  <c r="D13" i="10"/>
  <c r="D77" i="10"/>
  <c r="D141" i="10"/>
  <c r="D205" i="10"/>
  <c r="D269" i="10"/>
  <c r="D301" i="10"/>
  <c r="D333" i="10"/>
  <c r="D65" i="10"/>
  <c r="D161" i="10"/>
  <c r="D280" i="10"/>
  <c r="N256" i="10"/>
  <c r="N201" i="10"/>
  <c r="M28" i="10"/>
  <c r="M17" i="10"/>
  <c r="M122" i="10"/>
  <c r="M82" i="10"/>
  <c r="L163" i="10"/>
  <c r="L200" i="10"/>
  <c r="L230" i="10"/>
  <c r="L204" i="10"/>
  <c r="L45" i="10"/>
  <c r="K39" i="10"/>
  <c r="K299" i="10"/>
  <c r="K94" i="10"/>
  <c r="K350" i="10"/>
  <c r="K305" i="10"/>
  <c r="K29" i="10"/>
  <c r="K113" i="10"/>
  <c r="J35" i="10"/>
  <c r="J167" i="10"/>
  <c r="J76" i="10"/>
  <c r="J106" i="10"/>
  <c r="J234" i="10"/>
  <c r="J187" i="10"/>
  <c r="J72" i="10"/>
  <c r="J209" i="10"/>
  <c r="J276" i="10"/>
  <c r="J341" i="10"/>
  <c r="J232" i="10"/>
  <c r="J225" i="10"/>
  <c r="J284" i="10"/>
  <c r="J333" i="10"/>
  <c r="I75" i="10"/>
  <c r="I163" i="10"/>
  <c r="I247" i="10"/>
  <c r="I319" i="10"/>
  <c r="I185" i="10"/>
  <c r="I60" i="10"/>
  <c r="I124" i="10"/>
  <c r="I188" i="10"/>
  <c r="I252" i="10"/>
  <c r="I316" i="10"/>
  <c r="I29" i="10"/>
  <c r="I93" i="10"/>
  <c r="I189" i="10"/>
  <c r="I221" i="10"/>
  <c r="I10" i="10"/>
  <c r="I206" i="10"/>
  <c r="I294" i="10"/>
  <c r="I46" i="10"/>
  <c r="I209" i="10"/>
  <c r="I297" i="10"/>
  <c r="I66" i="10"/>
  <c r="I218" i="10"/>
  <c r="I306" i="10"/>
  <c r="H11" i="10"/>
  <c r="H55" i="10"/>
  <c r="H99" i="10"/>
  <c r="H139" i="10"/>
  <c r="H183" i="10"/>
  <c r="H227" i="10"/>
  <c r="H267" i="10"/>
  <c r="H311" i="10"/>
  <c r="H4" i="10"/>
  <c r="H44" i="10"/>
  <c r="H88" i="10"/>
  <c r="H132" i="10"/>
  <c r="H172" i="10"/>
  <c r="H216" i="10"/>
  <c r="H260" i="10"/>
  <c r="H300" i="10"/>
  <c r="H344" i="10"/>
  <c r="H25" i="10"/>
  <c r="H57" i="10"/>
  <c r="H89" i="10"/>
  <c r="H121" i="10"/>
  <c r="H153" i="10"/>
  <c r="H102" i="10"/>
  <c r="H258" i="10"/>
  <c r="H106" i="10"/>
  <c r="H253" i="10"/>
  <c r="H78" i="10"/>
  <c r="H246" i="10"/>
  <c r="H34" i="10"/>
  <c r="H161" i="10"/>
  <c r="H225" i="10"/>
  <c r="H289" i="10"/>
  <c r="H134" i="10"/>
  <c r="H266" i="10"/>
  <c r="H58" i="10"/>
  <c r="H245" i="10"/>
  <c r="H30" i="10"/>
  <c r="H222" i="10"/>
  <c r="H350" i="10"/>
  <c r="G27" i="10"/>
  <c r="G59" i="10"/>
  <c r="G91" i="10"/>
  <c r="G123" i="10"/>
  <c r="G155" i="10"/>
  <c r="G187" i="10"/>
  <c r="G219" i="10"/>
  <c r="G251" i="10"/>
  <c r="G283" i="10"/>
  <c r="G315" i="10"/>
  <c r="G347" i="10"/>
  <c r="G4" i="10"/>
  <c r="G36" i="10"/>
  <c r="G68" i="10"/>
  <c r="G100" i="10"/>
  <c r="G132" i="10"/>
  <c r="G164" i="10"/>
  <c r="G196" i="10"/>
  <c r="G228" i="10"/>
  <c r="G260" i="10"/>
  <c r="G292" i="10"/>
  <c r="G324" i="10"/>
  <c r="G5" i="10"/>
  <c r="G37" i="10"/>
  <c r="G69" i="10"/>
  <c r="G101" i="10"/>
  <c r="G137" i="10"/>
  <c r="G22" i="10"/>
  <c r="G150" i="10"/>
  <c r="G230" i="10"/>
  <c r="G294" i="10"/>
  <c r="G301" i="10"/>
  <c r="G74" i="10"/>
  <c r="G193" i="10"/>
  <c r="G257" i="10"/>
  <c r="G321" i="10"/>
  <c r="G78" i="10"/>
  <c r="G194" i="10"/>
  <c r="G258" i="10"/>
  <c r="G322" i="10"/>
  <c r="G82" i="10"/>
  <c r="G197" i="10"/>
  <c r="G261" i="10"/>
  <c r="G2" i="10"/>
  <c r="F31" i="10"/>
  <c r="F63" i="10"/>
  <c r="F95" i="10"/>
  <c r="F127" i="10"/>
  <c r="F159" i="10"/>
  <c r="F191" i="10"/>
  <c r="F223" i="10"/>
  <c r="F255" i="10"/>
  <c r="F287" i="10"/>
  <c r="F347" i="10"/>
  <c r="F56" i="10"/>
  <c r="F120" i="10"/>
  <c r="F184" i="10"/>
  <c r="F248" i="10"/>
  <c r="F26" i="10"/>
  <c r="F58" i="10"/>
  <c r="F90" i="10"/>
  <c r="F122" i="10"/>
  <c r="F154" i="10"/>
  <c r="F186" i="10"/>
  <c r="F218" i="10"/>
  <c r="F250" i="10"/>
  <c r="F282" i="10"/>
  <c r="F314" i="10"/>
  <c r="F346" i="10"/>
  <c r="F343" i="10"/>
  <c r="F60" i="10"/>
  <c r="F124" i="10"/>
  <c r="F188" i="10"/>
  <c r="F252" i="10"/>
  <c r="F133" i="10"/>
  <c r="F336" i="10"/>
  <c r="F233" i="10"/>
  <c r="F61" i="10"/>
  <c r="F292" i="10"/>
  <c r="F81" i="10"/>
  <c r="F209" i="10"/>
  <c r="F301" i="10"/>
  <c r="F117" i="10"/>
  <c r="F312" i="10"/>
  <c r="F153" i="10"/>
  <c r="F337" i="10"/>
  <c r="F237" i="10"/>
  <c r="E3" i="10"/>
  <c r="E35" i="10"/>
  <c r="E67" i="10"/>
  <c r="E99" i="10"/>
  <c r="E131" i="10"/>
  <c r="E163" i="10"/>
  <c r="E195" i="10"/>
  <c r="E227" i="10"/>
  <c r="E259" i="10"/>
  <c r="E291" i="10"/>
  <c r="E347" i="10"/>
  <c r="E52" i="10"/>
  <c r="E120" i="10"/>
  <c r="E184" i="10"/>
  <c r="E248" i="10"/>
  <c r="E22" i="10"/>
  <c r="E54" i="10"/>
  <c r="E86" i="10"/>
  <c r="E118" i="10"/>
  <c r="E150" i="10"/>
  <c r="E182" i="10"/>
  <c r="E214" i="10"/>
  <c r="E246" i="10"/>
  <c r="E278" i="10"/>
  <c r="E310" i="10"/>
  <c r="E342" i="10"/>
  <c r="E343" i="10"/>
  <c r="E64" i="10"/>
  <c r="E124" i="10"/>
  <c r="E188" i="10"/>
  <c r="E252" i="10"/>
  <c r="E85" i="10"/>
  <c r="E213" i="10"/>
  <c r="E308" i="10"/>
  <c r="E41" i="10"/>
  <c r="E169" i="10"/>
  <c r="E285" i="10"/>
  <c r="E349" i="10"/>
  <c r="E125" i="10"/>
  <c r="E253" i="10"/>
  <c r="E328" i="10"/>
  <c r="E81" i="10"/>
  <c r="E161" i="10"/>
  <c r="E241" i="10"/>
  <c r="E305" i="10"/>
  <c r="E345" i="10"/>
  <c r="D15" i="10"/>
  <c r="D39" i="10"/>
  <c r="D59" i="10"/>
  <c r="D79" i="10"/>
  <c r="D103" i="10"/>
  <c r="D123" i="10"/>
  <c r="D143" i="10"/>
  <c r="D167" i="10"/>
  <c r="D187" i="10"/>
  <c r="D207" i="10"/>
  <c r="D231" i="10"/>
  <c r="D251" i="10"/>
  <c r="D271" i="10"/>
  <c r="D299" i="10"/>
  <c r="D339" i="10"/>
  <c r="D24" i="10"/>
  <c r="D68" i="10"/>
  <c r="D108" i="10"/>
  <c r="D148" i="10"/>
  <c r="D196" i="10"/>
  <c r="D236" i="10"/>
  <c r="D6" i="10"/>
  <c r="D30" i="10"/>
  <c r="D50" i="10"/>
  <c r="D70" i="10"/>
  <c r="D94" i="10"/>
  <c r="D114" i="10"/>
  <c r="D134" i="10"/>
  <c r="D158" i="10"/>
  <c r="D178" i="10"/>
  <c r="D198" i="10"/>
  <c r="D222" i="10"/>
  <c r="D242" i="10"/>
  <c r="D262" i="10"/>
  <c r="D286" i="10"/>
  <c r="D306" i="10"/>
  <c r="D326" i="10"/>
  <c r="D350" i="10"/>
  <c r="D327" i="10"/>
  <c r="D20" i="10"/>
  <c r="D72" i="10"/>
  <c r="D112" i="10"/>
  <c r="D152" i="10"/>
  <c r="D200" i="10"/>
  <c r="D240" i="10"/>
  <c r="D5" i="10"/>
  <c r="D69" i="10"/>
  <c r="D133" i="10"/>
  <c r="D197" i="10"/>
  <c r="D261" i="10"/>
  <c r="D297" i="10"/>
  <c r="D329" i="10"/>
  <c r="D33" i="10"/>
  <c r="D209" i="10"/>
  <c r="D304" i="10"/>
  <c r="D9" i="10"/>
  <c r="D73" i="10"/>
  <c r="D137" i="10"/>
  <c r="D201" i="10"/>
  <c r="D265" i="10"/>
  <c r="D300" i="10"/>
  <c r="D332" i="10"/>
  <c r="D29" i="10"/>
  <c r="D93" i="10"/>
  <c r="D157" i="10"/>
  <c r="D221" i="10"/>
  <c r="D277" i="10"/>
  <c r="D309" i="10"/>
  <c r="D341" i="10"/>
  <c r="D81" i="10"/>
  <c r="D193" i="10"/>
  <c r="D296" i="10"/>
  <c r="D2" i="10"/>
  <c r="G84" i="10"/>
  <c r="G161" i="10"/>
  <c r="G262" i="10"/>
  <c r="G10" i="10"/>
  <c r="G225" i="10"/>
  <c r="G14" i="10"/>
  <c r="G226" i="10"/>
  <c r="G290" i="10"/>
  <c r="G146" i="10"/>
  <c r="G293" i="10"/>
  <c r="F47" i="10"/>
  <c r="F111" i="10"/>
  <c r="F175" i="10"/>
  <c r="F239" i="10"/>
  <c r="F271" i="10"/>
  <c r="F24" i="10"/>
  <c r="F152" i="10"/>
  <c r="F10" i="10"/>
  <c r="F74" i="10"/>
  <c r="F106" i="10"/>
  <c r="F170" i="10"/>
  <c r="F234" i="10"/>
  <c r="F298" i="10"/>
  <c r="F311" i="10"/>
  <c r="F92" i="10"/>
  <c r="F220" i="10"/>
  <c r="F37" i="10"/>
  <c r="F105" i="10"/>
  <c r="F189" i="10"/>
  <c r="F145" i="10"/>
  <c r="F333" i="10"/>
  <c r="F229" i="10"/>
  <c r="F273" i="10"/>
  <c r="F316" i="10"/>
  <c r="E51" i="10"/>
  <c r="E115" i="10"/>
  <c r="E179" i="10"/>
  <c r="E243" i="10"/>
  <c r="E315" i="10"/>
  <c r="E24" i="10"/>
  <c r="E152" i="10"/>
  <c r="E6" i="10"/>
  <c r="E70" i="10"/>
  <c r="E134" i="10"/>
  <c r="E166" i="10"/>
  <c r="E230" i="10"/>
  <c r="E294" i="10"/>
  <c r="E326" i="10"/>
  <c r="E32" i="10"/>
  <c r="E156" i="10"/>
  <c r="E21" i="10"/>
  <c r="E149" i="10"/>
  <c r="E340" i="10"/>
  <c r="E233" i="10"/>
  <c r="E61" i="10"/>
  <c r="E189" i="10"/>
  <c r="E17" i="10"/>
  <c r="E209" i="10"/>
  <c r="E321" i="10"/>
  <c r="D7" i="10"/>
  <c r="D47" i="10"/>
  <c r="D91" i="10"/>
  <c r="D135" i="10"/>
  <c r="D175" i="10"/>
  <c r="D219" i="10"/>
  <c r="D263" i="10"/>
  <c r="D283" i="10"/>
  <c r="D12" i="10"/>
  <c r="D84" i="10"/>
  <c r="D172" i="10"/>
  <c r="D260" i="10"/>
  <c r="D18" i="10"/>
  <c r="D62" i="10"/>
  <c r="D102" i="10"/>
  <c r="D146" i="10"/>
  <c r="D190" i="10"/>
  <c r="D230" i="10"/>
  <c r="D274" i="10"/>
  <c r="D318" i="10"/>
  <c r="D303" i="10"/>
  <c r="D44" i="10"/>
  <c r="D136" i="10"/>
  <c r="D216" i="10"/>
  <c r="D37" i="10"/>
  <c r="D101" i="10"/>
  <c r="D229" i="10"/>
  <c r="D313" i="10"/>
  <c r="D145" i="10"/>
  <c r="D336" i="10"/>
  <c r="D105" i="10"/>
  <c r="D233" i="10"/>
  <c r="D316" i="10"/>
  <c r="D61" i="10"/>
  <c r="D189" i="10"/>
  <c r="D293" i="10"/>
  <c r="D49" i="10"/>
  <c r="D257" i="10"/>
  <c r="S5" i="9"/>
  <c r="F9" i="8"/>
  <c r="U14" i="3" l="1"/>
  <c r="V9" i="3"/>
  <c r="V5" i="3"/>
  <c r="K5" i="3" l="1"/>
  <c r="L5" i="3" s="1"/>
  <c r="E5" i="3"/>
  <c r="G5" i="3"/>
  <c r="H35" i="2" l="1"/>
  <c r="K37" i="2"/>
  <c r="D7" i="2"/>
  <c r="G7" i="2"/>
  <c r="D8" i="2"/>
  <c r="K10" i="2"/>
  <c r="G14" i="2"/>
  <c r="G15" i="2"/>
  <c r="G22" i="2"/>
  <c r="G23" i="2"/>
  <c r="Q24" i="2"/>
  <c r="J26" i="2"/>
  <c r="R26" i="2"/>
  <c r="S29" i="2"/>
  <c r="Q32" i="2"/>
  <c r="H33" i="2"/>
  <c r="C9" i="2"/>
  <c r="J16" i="2"/>
  <c r="H18" i="2"/>
  <c r="D16" i="2"/>
  <c r="J24" i="2"/>
  <c r="D11" i="2"/>
  <c r="P9" i="2"/>
  <c r="H9" i="2"/>
  <c r="R33" i="2"/>
  <c r="H32" i="2"/>
  <c r="H20" i="2"/>
  <c r="H12" i="2"/>
  <c r="H8" i="2"/>
  <c r="H11" i="2"/>
  <c r="L9" i="2"/>
  <c r="G19" i="2"/>
  <c r="Q18" i="2"/>
  <c r="G11" i="2"/>
  <c r="K9" i="2"/>
  <c r="K32" i="2"/>
  <c r="S28" i="2"/>
  <c r="G26" i="2"/>
  <c r="K24" i="2"/>
  <c r="Q17" i="2"/>
  <c r="Q13" i="2"/>
  <c r="Q9" i="2"/>
  <c r="K8" i="2"/>
  <c r="G25" i="2"/>
  <c r="Q16" i="2"/>
  <c r="K15" i="2"/>
  <c r="G13" i="2"/>
  <c r="K11" i="2"/>
  <c r="I8" i="2"/>
  <c r="K5" i="2"/>
  <c r="G32" i="2"/>
  <c r="S26" i="2"/>
  <c r="Q23" i="2"/>
  <c r="K22" i="2"/>
  <c r="Q15" i="2"/>
  <c r="G12" i="2"/>
  <c r="S10" i="2"/>
  <c r="Q7" i="2"/>
  <c r="Q5" i="2"/>
  <c r="S11" i="2"/>
  <c r="S7" i="2"/>
  <c r="L19" i="2"/>
  <c r="E27" i="2"/>
  <c r="G18" i="2"/>
  <c r="H16" i="2"/>
  <c r="K36" i="2"/>
  <c r="G34" i="2"/>
  <c r="J12" i="2"/>
  <c r="R28" i="2"/>
  <c r="D23" i="2"/>
  <c r="F30" i="2"/>
  <c r="F19" i="2"/>
  <c r="C11" i="2"/>
  <c r="D36" i="2"/>
  <c r="L27" i="2"/>
  <c r="L25" i="2"/>
  <c r="H37" i="2"/>
  <c r="K33" i="2"/>
  <c r="G31" i="2"/>
  <c r="H39" i="2"/>
  <c r="Q37" i="2"/>
  <c r="Q38" i="2"/>
  <c r="G39" i="2"/>
  <c r="J19" i="2"/>
  <c r="S18" i="2"/>
  <c r="Q19" i="2"/>
  <c r="L31" i="2"/>
  <c r="C29" i="2"/>
  <c r="L16" i="2"/>
  <c r="J9" i="2"/>
  <c r="C39" i="2"/>
  <c r="Q36" i="2"/>
  <c r="J6" i="2"/>
  <c r="H10" i="2"/>
  <c r="J33" i="2"/>
  <c r="C13" i="2"/>
  <c r="R38" i="2"/>
  <c r="D37" i="2"/>
  <c r="F36" i="2"/>
  <c r="J37" i="2"/>
  <c r="H34" i="2"/>
  <c r="J35" i="2"/>
  <c r="M39" i="2"/>
  <c r="G36" i="2"/>
  <c r="F6" i="2"/>
  <c r="K29" i="2"/>
  <c r="K18" i="2"/>
  <c r="H31" i="2"/>
  <c r="Q39" i="2"/>
  <c r="K38" i="2"/>
  <c r="G27" i="2" l="1"/>
  <c r="R34" i="2"/>
  <c r="I5" i="2"/>
  <c r="M37" i="2"/>
  <c r="R6" i="2"/>
  <c r="E10" i="2"/>
  <c r="E5" i="2"/>
  <c r="M11" i="2"/>
  <c r="I14" i="2"/>
  <c r="P29" i="2"/>
  <c r="P14" i="2"/>
  <c r="P12" i="2"/>
  <c r="E32" i="2"/>
  <c r="E31" i="2"/>
  <c r="D29" i="2"/>
  <c r="F26" i="2"/>
  <c r="F25" i="2"/>
  <c r="L20" i="2"/>
  <c r="P16" i="2"/>
  <c r="P15" i="2"/>
  <c r="F5" i="2"/>
  <c r="L39" i="2"/>
  <c r="D33" i="2"/>
  <c r="G17" i="2"/>
  <c r="E25" i="2"/>
  <c r="L11" i="2"/>
  <c r="F27" i="2"/>
  <c r="H28" i="2"/>
  <c r="H30" i="2"/>
  <c r="R14" i="2"/>
  <c r="I17" i="2"/>
  <c r="S38" i="2"/>
  <c r="E36" i="2"/>
  <c r="C36" i="2"/>
  <c r="R36" i="2"/>
  <c r="F23" i="2"/>
  <c r="E19" i="2"/>
  <c r="H38" i="2"/>
  <c r="L38" i="2"/>
  <c r="C19" i="2"/>
  <c r="P6" i="2"/>
  <c r="C14" i="2"/>
  <c r="M26" i="2"/>
  <c r="M19" i="2"/>
  <c r="S21" i="2"/>
  <c r="S30" i="2"/>
  <c r="S35" i="2"/>
  <c r="Q11" i="2"/>
  <c r="I23" i="2"/>
  <c r="K7" i="2"/>
  <c r="Q12" i="2"/>
  <c r="I9" i="2"/>
  <c r="G10" i="2"/>
  <c r="M15" i="2"/>
  <c r="K16" i="2"/>
  <c r="S24" i="2"/>
  <c r="M9" i="2"/>
  <c r="M38" i="2"/>
  <c r="E21" i="2"/>
  <c r="E6" i="2"/>
  <c r="E18" i="2"/>
  <c r="E22" i="2"/>
  <c r="M7" i="2"/>
  <c r="I6" i="2"/>
  <c r="I10" i="2"/>
  <c r="M12" i="2"/>
  <c r="M20" i="2"/>
  <c r="L13" i="2"/>
  <c r="L17" i="2"/>
  <c r="P17" i="2"/>
  <c r="F33" i="2"/>
  <c r="K23" i="2"/>
  <c r="F16" i="2"/>
  <c r="F39" i="2"/>
  <c r="C26" i="2"/>
  <c r="L34" i="2"/>
  <c r="P38" i="2"/>
  <c r="E34" i="2"/>
  <c r="E38" i="2"/>
  <c r="F7" i="2"/>
  <c r="J17" i="2"/>
  <c r="R29" i="2"/>
  <c r="R25" i="2"/>
  <c r="E35" i="2"/>
  <c r="M28" i="2"/>
  <c r="L33" i="2"/>
  <c r="F34" i="2"/>
  <c r="R37" i="2"/>
  <c r="F13" i="2"/>
  <c r="L26" i="2"/>
  <c r="D34" i="2"/>
  <c r="Q34" i="2"/>
  <c r="F28" i="2"/>
  <c r="R12" i="2"/>
  <c r="R17" i="2"/>
  <c r="S37" i="2"/>
  <c r="K6" i="2"/>
  <c r="E9" i="2"/>
  <c r="E13" i="2"/>
  <c r="S14" i="2"/>
  <c r="G16" i="2"/>
  <c r="M17" i="2"/>
  <c r="I19" i="2"/>
  <c r="E33" i="2"/>
  <c r="M14" i="2"/>
  <c r="K19" i="2"/>
  <c r="K12" i="2"/>
  <c r="E23" i="2"/>
  <c r="E8" i="2"/>
  <c r="Q14" i="2"/>
  <c r="H7" i="2"/>
  <c r="L6" i="2"/>
  <c r="L22" i="2"/>
  <c r="R27" i="2"/>
  <c r="R20" i="2"/>
  <c r="H21" i="2"/>
  <c r="R9" i="2"/>
  <c r="Q30" i="2"/>
  <c r="I7" i="2"/>
  <c r="R18" i="2"/>
  <c r="C33" i="2"/>
  <c r="K30" i="2"/>
  <c r="E28" i="2"/>
  <c r="Q25" i="2"/>
  <c r="K25" i="2"/>
  <c r="R22" i="2"/>
  <c r="J22" i="2"/>
  <c r="R21" i="2"/>
  <c r="S15" i="2"/>
  <c r="L12" i="2"/>
  <c r="J11" i="2"/>
  <c r="G38" i="2"/>
  <c r="L32" i="2"/>
  <c r="J14" i="2"/>
  <c r="G30" i="2"/>
  <c r="S9" i="2"/>
  <c r="R39" i="2"/>
  <c r="F35" i="2"/>
  <c r="E30" i="2"/>
  <c r="J34" i="2"/>
  <c r="L37" i="2"/>
  <c r="M25" i="2"/>
  <c r="C18" i="2"/>
  <c r="M32" i="2"/>
  <c r="K14" i="2"/>
  <c r="I36" i="2"/>
  <c r="G37" i="2"/>
  <c r="K39" i="2"/>
  <c r="C8" i="2"/>
  <c r="J10" i="2"/>
  <c r="D35" i="2"/>
  <c r="E12" i="2"/>
  <c r="H22" i="2"/>
  <c r="R24" i="2"/>
  <c r="J25" i="2"/>
  <c r="L29" i="2"/>
  <c r="D26" i="2"/>
  <c r="D5" i="2"/>
  <c r="J8" i="2"/>
  <c r="G24" i="2"/>
  <c r="G33" i="2"/>
  <c r="R35" i="2"/>
  <c r="F15" i="2"/>
  <c r="C20" i="2"/>
  <c r="I37" i="2"/>
  <c r="E39" i="2"/>
  <c r="L8" i="2"/>
  <c r="M30" i="2"/>
  <c r="S34" i="2"/>
  <c r="R5" i="2"/>
  <c r="S33" i="2"/>
  <c r="G8" i="2"/>
  <c r="M13" i="2"/>
  <c r="G20" i="2"/>
  <c r="K26" i="2"/>
  <c r="G28" i="2"/>
  <c r="S5" i="2"/>
  <c r="M6" i="2"/>
  <c r="Q8" i="2"/>
  <c r="M10" i="2"/>
  <c r="I16" i="2"/>
  <c r="M18" i="2"/>
  <c r="S27" i="2"/>
  <c r="M5" i="2"/>
  <c r="E7" i="2"/>
  <c r="S8" i="2"/>
  <c r="E11" i="2"/>
  <c r="K20" i="2"/>
  <c r="Q6" i="2"/>
  <c r="Q10" i="2"/>
  <c r="K13" i="2"/>
  <c r="K17" i="2"/>
  <c r="E24" i="2"/>
  <c r="D9" i="2"/>
  <c r="R10" i="2"/>
  <c r="P11" i="2"/>
  <c r="D13" i="2"/>
  <c r="D17" i="2"/>
  <c r="J18" i="2"/>
  <c r="D25" i="2"/>
  <c r="R7" i="2"/>
  <c r="P24" i="2"/>
  <c r="L5" i="2"/>
  <c r="F14" i="2"/>
  <c r="H17" i="2"/>
  <c r="D19" i="2"/>
  <c r="H29" i="2"/>
  <c r="H14" i="2"/>
  <c r="Q28" i="2"/>
  <c r="I13" i="2"/>
  <c r="C12" i="2"/>
  <c r="Q33" i="2"/>
  <c r="M33" i="2"/>
  <c r="P32" i="2"/>
  <c r="I32" i="2"/>
  <c r="F32" i="2"/>
  <c r="Q29" i="2"/>
  <c r="G29" i="2"/>
  <c r="K28" i="2"/>
  <c r="K27" i="2"/>
  <c r="P26" i="2"/>
  <c r="H26" i="2"/>
  <c r="M24" i="2"/>
  <c r="F24" i="2"/>
  <c r="Q22" i="2"/>
  <c r="F22" i="2"/>
  <c r="C22" i="2"/>
  <c r="I21" i="2"/>
  <c r="F21" i="2"/>
  <c r="C21" i="2"/>
  <c r="P18" i="2"/>
  <c r="L18" i="2"/>
  <c r="L14" i="2"/>
  <c r="S13" i="2"/>
  <c r="P13" i="2"/>
  <c r="F9" i="2"/>
  <c r="J7" i="2"/>
  <c r="H6" i="2"/>
  <c r="F38" i="2"/>
  <c r="I34" i="2"/>
  <c r="H5" i="2"/>
  <c r="H19" i="2"/>
  <c r="H27" i="2"/>
  <c r="D14" i="2"/>
  <c r="J31" i="2"/>
  <c r="P25" i="2"/>
  <c r="J28" i="2"/>
  <c r="P19" i="2"/>
  <c r="R30" i="2"/>
  <c r="D30" i="2"/>
  <c r="E29" i="2"/>
  <c r="I28" i="2"/>
  <c r="P21" i="2"/>
  <c r="I15" i="2"/>
  <c r="I39" i="2"/>
  <c r="F18" i="2"/>
  <c r="J5" i="2"/>
  <c r="F29" i="2"/>
  <c r="K31" i="2"/>
  <c r="J38" i="2"/>
  <c r="G6" i="2"/>
  <c r="Q31" i="2"/>
  <c r="P34" i="2"/>
  <c r="Q35" i="2"/>
  <c r="G35" i="2"/>
  <c r="I38" i="2"/>
  <c r="D12" i="2"/>
  <c r="E26" i="2"/>
  <c r="M22" i="2"/>
  <c r="I24" i="2"/>
  <c r="L28" i="2"/>
  <c r="K35" i="2"/>
  <c r="S39" i="2"/>
  <c r="J29" i="2"/>
  <c r="M16" i="2"/>
  <c r="C25" i="2"/>
  <c r="M36" i="2"/>
  <c r="L35" i="2"/>
  <c r="D39" i="2"/>
  <c r="J32" i="2"/>
  <c r="L23" i="2"/>
  <c r="C34" i="2"/>
  <c r="J36" i="2"/>
  <c r="C37" i="2"/>
  <c r="I18" i="2"/>
  <c r="C23" i="2"/>
  <c r="D10" i="2"/>
  <c r="D27" i="2"/>
  <c r="R16" i="2"/>
  <c r="S6" i="2"/>
  <c r="I11" i="2"/>
  <c r="E17" i="2"/>
  <c r="I27" i="2"/>
  <c r="G9" i="2"/>
  <c r="I12" i="2"/>
  <c r="E14" i="2"/>
  <c r="S31" i="2"/>
  <c r="S12" i="2"/>
  <c r="E15" i="2"/>
  <c r="S16" i="2"/>
  <c r="I33" i="2"/>
  <c r="M8" i="2"/>
  <c r="E16" i="2"/>
  <c r="E20" i="2"/>
  <c r="P5" i="2"/>
  <c r="P7" i="2"/>
  <c r="F8" i="2"/>
  <c r="F12" i="2"/>
  <c r="H15" i="2"/>
  <c r="F20" i="2"/>
  <c r="P27" i="2"/>
  <c r="D6" i="2"/>
  <c r="F17" i="2"/>
  <c r="P20" i="2"/>
  <c r="D22" i="2"/>
  <c r="R31" i="2"/>
  <c r="R8" i="2"/>
  <c r="F10" i="2"/>
  <c r="H13" i="2"/>
  <c r="H25" i="2"/>
  <c r="P10" i="2"/>
  <c r="R13" i="2"/>
  <c r="S22" i="2"/>
  <c r="C15" i="2"/>
  <c r="I31" i="2"/>
  <c r="F31" i="2"/>
  <c r="J30" i="2"/>
  <c r="M29" i="2"/>
  <c r="I29" i="2"/>
  <c r="P28" i="2"/>
  <c r="D28" i="2"/>
  <c r="S25" i="2"/>
  <c r="L24" i="2"/>
  <c r="R23" i="2"/>
  <c r="P23" i="2"/>
  <c r="H23" i="2"/>
  <c r="Q21" i="2"/>
  <c r="K21" i="2"/>
  <c r="Q20" i="2"/>
  <c r="J20" i="2"/>
  <c r="D18" i="2"/>
  <c r="S17" i="2"/>
  <c r="D15" i="2"/>
  <c r="P8" i="2"/>
  <c r="G5" i="2"/>
  <c r="C5" i="2"/>
  <c r="J39" i="2"/>
  <c r="F37" i="2"/>
  <c r="I35" i="2"/>
  <c r="K34" i="2"/>
  <c r="P39" i="2"/>
  <c r="O15" i="2"/>
  <c r="O26" i="2"/>
  <c r="O14" i="2"/>
  <c r="O24" i="2"/>
  <c r="O22" i="2"/>
  <c r="D32" i="2"/>
  <c r="D20" i="2"/>
  <c r="O39" i="2"/>
  <c r="L7" i="2"/>
  <c r="D38" i="2"/>
  <c r="M35" i="2"/>
  <c r="O38" i="2" l="1"/>
  <c r="O31" i="2"/>
  <c r="O18" i="2"/>
  <c r="O16" i="2"/>
  <c r="O13" i="2"/>
  <c r="I30" i="2"/>
  <c r="L15" i="2"/>
  <c r="O7" i="2"/>
  <c r="O12" i="2"/>
  <c r="O19" i="2"/>
  <c r="O5" i="2"/>
  <c r="L30" i="2"/>
  <c r="S32" i="2"/>
  <c r="R15" i="2"/>
  <c r="O36" i="2"/>
  <c r="N16" i="2"/>
  <c r="N37" i="2"/>
  <c r="N7" i="2"/>
  <c r="O17" i="2"/>
  <c r="C10" i="2"/>
  <c r="O11" i="2"/>
  <c r="O8" i="2"/>
  <c r="E37" i="2"/>
  <c r="N34" i="2"/>
  <c r="C16" i="2"/>
  <c r="C17" i="2"/>
  <c r="P36" i="2"/>
  <c r="C28" i="2"/>
  <c r="R11" i="2"/>
  <c r="S19" i="2"/>
  <c r="D31" i="2"/>
  <c r="R32" i="2"/>
  <c r="J21" i="2"/>
  <c r="N24" i="2"/>
  <c r="O29" i="2"/>
  <c r="O20" i="2"/>
  <c r="N36" i="2"/>
  <c r="N39" i="2"/>
  <c r="N38" i="2"/>
  <c r="J15" i="2"/>
  <c r="N35" i="2"/>
  <c r="N13" i="2"/>
  <c r="P22" i="2"/>
  <c r="J23" i="2"/>
  <c r="P31" i="2"/>
  <c r="L21" i="2"/>
  <c r="N12" i="2"/>
  <c r="O10" i="2"/>
  <c r="N8" i="2"/>
  <c r="S23" i="2"/>
  <c r="O32" i="2"/>
  <c r="S20" i="2"/>
  <c r="G21" i="2"/>
  <c r="N28" i="2"/>
  <c r="N32" i="2"/>
  <c r="O21" i="2"/>
  <c r="O6" i="2"/>
  <c r="O30" i="2"/>
  <c r="C38" i="2"/>
  <c r="M34" i="2"/>
  <c r="C31" i="2"/>
  <c r="D24" i="2"/>
  <c r="M23" i="2"/>
  <c r="N22" i="2"/>
  <c r="N18" i="2"/>
  <c r="N9" i="2"/>
  <c r="N30" i="2"/>
  <c r="N6" i="2"/>
  <c r="F11" i="2"/>
  <c r="J13" i="2"/>
  <c r="M31" i="2"/>
  <c r="I22" i="2"/>
  <c r="H24" i="2"/>
  <c r="I25" i="2"/>
  <c r="J27" i="2"/>
  <c r="Q27" i="2"/>
  <c r="N33" i="2"/>
  <c r="L36" i="2"/>
  <c r="I26" i="2"/>
  <c r="C30" i="2"/>
  <c r="I20" i="2"/>
  <c r="D21" i="2"/>
  <c r="C32" i="2"/>
  <c r="N31" i="2"/>
  <c r="N21" i="2"/>
  <c r="O25" i="2"/>
  <c r="N23" i="2"/>
  <c r="P33" i="2"/>
  <c r="N19" i="2"/>
  <c r="O34" i="2"/>
  <c r="C6" i="2"/>
  <c r="O23" i="2"/>
  <c r="P30" i="2"/>
  <c r="O33" i="2"/>
  <c r="O27" i="2"/>
  <c r="P35" i="2"/>
  <c r="C7" i="2"/>
  <c r="N11" i="2"/>
  <c r="M21" i="2"/>
  <c r="N14" i="2"/>
  <c r="N5" i="2"/>
  <c r="N10" i="2"/>
  <c r="N29" i="2"/>
  <c r="C24" i="2"/>
  <c r="N20" i="2"/>
  <c r="N26" i="2"/>
  <c r="C27" i="2"/>
  <c r="M27" i="2"/>
  <c r="H36" i="2"/>
  <c r="Q26" i="2"/>
  <c r="S36" i="2"/>
  <c r="R19" i="2"/>
  <c r="P37" i="2"/>
  <c r="O35" i="2"/>
  <c r="N25" i="2"/>
  <c r="N17" i="2"/>
  <c r="L10" i="2"/>
  <c r="O9" i="2"/>
  <c r="N27" i="2"/>
  <c r="C35" i="2"/>
  <c r="O28" i="2"/>
  <c r="O37" i="2"/>
  <c r="N15" i="2"/>
</calcChain>
</file>

<file path=xl/sharedStrings.xml><?xml version="1.0" encoding="utf-8"?>
<sst xmlns="http://schemas.openxmlformats.org/spreadsheetml/2006/main" count="98" uniqueCount="72">
  <si>
    <t>Fieldsize:</t>
  </si>
  <si>
    <t>20 x 20 mm</t>
  </si>
  <si>
    <t>30 x 30 mm</t>
  </si>
  <si>
    <t>40 x 40 mm</t>
  </si>
  <si>
    <t>50 x 50 mm</t>
  </si>
  <si>
    <t>60 x 60 mm</t>
  </si>
  <si>
    <t>70 x 70 mm</t>
  </si>
  <si>
    <t>80 x 80 mm</t>
  </si>
  <si>
    <t>100 x 100 mm</t>
  </si>
  <si>
    <t>120 x 120 mm</t>
  </si>
  <si>
    <t>150 x 150 mm</t>
  </si>
  <si>
    <t>200 x 200 mm</t>
  </si>
  <si>
    <t>250 x 250 mm</t>
  </si>
  <si>
    <t>300 x 300 mm</t>
  </si>
  <si>
    <t>400 x 400 mm</t>
  </si>
  <si>
    <t>Coordinate [mm]:</t>
  </si>
  <si>
    <t>Redhill TrueBeam - 6X TPRs</t>
  </si>
  <si>
    <t>↓ d  F.S. →</t>
  </si>
  <si>
    <t>F.S = field size S</t>
  </si>
  <si>
    <t>d=depth</t>
  </si>
  <si>
    <t>f (SSD)</t>
  </si>
  <si>
    <t>S (field)</t>
  </si>
  <si>
    <t>Sf/(f+d)</t>
  </si>
  <si>
    <t>Sf/(f+dr)</t>
  </si>
  <si>
    <t>((f+d)/(f+dr))^2</t>
  </si>
  <si>
    <t>PDD[d,f,  Sf/(f+d)  ]</t>
  </si>
  <si>
    <t>PDD</t>
  </si>
  <si>
    <t>Desired field</t>
  </si>
  <si>
    <t>PDD[dr,f,  Sf/(f+dr)  ]</t>
  </si>
  <si>
    <t>PSF[Sf/(f+d)]</t>
  </si>
  <si>
    <t>PSF[Sf/(f+dr)]</t>
  </si>
  <si>
    <t>TPR calc</t>
  </si>
  <si>
    <t>TPR ref</t>
  </si>
  <si>
    <t>Use equation 3(a) from BJR suuplement 25 appendix B, calc TPR from PDD</t>
  </si>
  <si>
    <t>cm</t>
  </si>
  <si>
    <t>d (depth cm)</t>
  </si>
  <si>
    <t>dr (ref depth cm)</t>
  </si>
  <si>
    <t>Field(d =  10cm)</t>
  </si>
  <si>
    <t>d</t>
  </si>
  <si>
    <t>dr</t>
  </si>
  <si>
    <t>Field(dr =  5cm)</t>
  </si>
  <si>
    <t xml:space="preserve">Use normalised  PSF see page 90. </t>
  </si>
  <si>
    <t>Field</t>
  </si>
  <si>
    <t>NPSF</t>
  </si>
  <si>
    <t>calc</t>
  </si>
  <si>
    <t>ref</t>
  </si>
  <si>
    <t>Interpolate 2 points to get PDD</t>
  </si>
  <si>
    <t>Test NPDF</t>
  </si>
  <si>
    <t>Test field</t>
  </si>
  <si>
    <t>InterpL</t>
  </si>
  <si>
    <t>NPSF fun</t>
  </si>
  <si>
    <t>Test that vba function working</t>
  </si>
  <si>
    <t>↓ d_mm  F.S._mm →</t>
  </si>
  <si>
    <t>test field</t>
  </si>
  <si>
    <t>test depth</t>
  </si>
  <si>
    <t>linInterpRC</t>
  </si>
  <si>
    <t>PDD fun</t>
  </si>
  <si>
    <t>now using custom NPSF &amp; PDD functions</t>
  </si>
  <si>
    <t>Field (mm)</t>
  </si>
  <si>
    <t>depth_ref_mm</t>
  </si>
  <si>
    <t>NPSF for smallest field 40cm - could interp</t>
  </si>
  <si>
    <t>Depth</t>
  </si>
  <si>
    <t>TPR</t>
  </si>
  <si>
    <t>correction</t>
  </si>
  <si>
    <t>PDD_d</t>
  </si>
  <si>
    <t>field smaller than have data for</t>
  </si>
  <si>
    <t>10 FIELD IS MADE UP DATA</t>
  </si>
  <si>
    <t>PDD_dr</t>
  </si>
  <si>
    <t>NPSF_d</t>
  </si>
  <si>
    <t>NPSF_dr</t>
  </si>
  <si>
    <t>#</t>
  </si>
  <si>
    <t>limitation of interp function if enter value at max of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</si>
</sst>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11" x14ac:knownFonts="1"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9C000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BEEF3"/>
        <bgColor indexed="64"/>
      </patternFill>
    </fill>
    <fill>
      <patternFill patternType="solid">
        <fgColor rgb="FFDBEEF3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5">
    <border>
      <left/>
      <right/>
      <top/>
      <bottom/>
      <diagonal/>
    </border>
    <border>
      <left style="thin">
        <color theme="3" tint="-0.249977111117893"/>
      </left>
      <right/>
      <top style="thin">
        <color theme="3" tint="-0.249977111117893"/>
      </top>
      <bottom style="thin">
        <color theme="3" tint="-0.24997711111789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3" tint="-0.249977111117893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3" tint="-0.249977111117893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8" fillId="5" borderId="0" applyNumberFormat="0" applyBorder="0" applyAlignment="0" applyProtection="0"/>
    <xf numFmtId="0" fontId="10" fillId="6" borderId="0" applyNumberFormat="0" applyBorder="0" applyAlignment="0" applyProtection="0"/>
  </cellStyleXfs>
  <cellXfs count="36">
    <xf numFmtId="0" fontId="0" fillId="0" borderId="0" xfId="0"/>
    <xf numFmtId="0" fontId="3" fillId="0" borderId="0" xfId="0" applyFont="1" applyAlignment="1">
      <alignment horizontal="left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165" fontId="0" fillId="4" borderId="2" xfId="0" applyNumberFormat="1" applyFont="1" applyFill="1" applyBorder="1" applyAlignment="1">
      <alignment horizontal="center"/>
    </xf>
    <xf numFmtId="165" fontId="0" fillId="4" borderId="6" xfId="0" applyNumberFormat="1" applyFont="1" applyFill="1" applyBorder="1" applyAlignment="1">
      <alignment horizontal="center"/>
    </xf>
    <xf numFmtId="165" fontId="0" fillId="4" borderId="3" xfId="0" applyNumberFormat="1" applyFont="1" applyFill="1" applyBorder="1" applyAlignment="1">
      <alignment horizontal="center"/>
    </xf>
    <xf numFmtId="165" fontId="0" fillId="4" borderId="4" xfId="0" applyNumberFormat="1" applyFont="1" applyFill="1" applyBorder="1" applyAlignment="1">
      <alignment horizontal="center"/>
    </xf>
    <xf numFmtId="165" fontId="0" fillId="4" borderId="7" xfId="0" applyNumberFormat="1" applyFont="1" applyFill="1" applyBorder="1" applyAlignment="1">
      <alignment horizontal="center"/>
    </xf>
    <xf numFmtId="165" fontId="0" fillId="4" borderId="8" xfId="0" applyNumberFormat="1" applyFont="1" applyFill="1" applyBorder="1" applyAlignment="1">
      <alignment horizontal="center"/>
    </xf>
    <xf numFmtId="165" fontId="0" fillId="4" borderId="0" xfId="0" applyNumberFormat="1" applyFont="1" applyFill="1" applyBorder="1" applyAlignment="1">
      <alignment horizontal="center"/>
    </xf>
    <xf numFmtId="165" fontId="0" fillId="4" borderId="9" xfId="0" applyNumberFormat="1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165" fontId="0" fillId="4" borderId="11" xfId="0" applyNumberFormat="1" applyFont="1" applyFill="1" applyBorder="1" applyAlignment="1">
      <alignment horizontal="center"/>
    </xf>
    <xf numFmtId="165" fontId="0" fillId="4" borderId="12" xfId="0" applyNumberFormat="1" applyFont="1" applyFill="1" applyBorder="1" applyAlignment="1">
      <alignment horizontal="center"/>
    </xf>
    <xf numFmtId="165" fontId="0" fillId="4" borderId="13" xfId="0" applyNumberFormat="1" applyFont="1" applyFill="1" applyBorder="1" applyAlignment="1">
      <alignment horizontal="center"/>
    </xf>
    <xf numFmtId="165" fontId="0" fillId="4" borderId="14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2" fontId="7" fillId="0" borderId="0" xfId="0" applyNumberFormat="1" applyFont="1" applyFill="1" applyBorder="1" applyAlignment="1">
      <alignment vertical="center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8" fillId="5" borderId="0" xfId="1" applyAlignment="1">
      <alignment horizontal="center"/>
    </xf>
    <xf numFmtId="0" fontId="8" fillId="5" borderId="0" xfId="1" applyAlignment="1">
      <alignment horizontal="left"/>
    </xf>
    <xf numFmtId="0" fontId="9" fillId="0" borderId="0" xfId="0" applyFont="1" applyAlignment="1">
      <alignment horizontal="center"/>
    </xf>
    <xf numFmtId="0" fontId="8" fillId="5" borderId="0" xfId="1"/>
    <xf numFmtId="0" fontId="10" fillId="6" borderId="0" xfId="2" applyAlignment="1">
      <alignment horizontal="center"/>
    </xf>
    <xf numFmtId="165" fontId="0" fillId="0" borderId="0" xfId="0" applyNumberFormat="1" applyAlignment="1">
      <alignment horizontal="center"/>
    </xf>
    <xf numFmtId="0" fontId="10" fillId="6" borderId="0" xfId="2"/>
    <xf numFmtId="2" fontId="0" fillId="0" borderId="0" xfId="0" applyNumberFormat="1" applyAlignment="1">
      <alignment horizontal="center"/>
    </xf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'6X PDD'!$A$4:$A$354</c:f>
              <c:numCache>
                <c:formatCode>General</c:formatCode>
                <c:ptCount val="3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</c:numCache>
            </c:numRef>
          </c:xVal>
          <c:yVal>
            <c:numRef>
              <c:f>'6X PDD'!$I$4:$I$354</c:f>
              <c:numCache>
                <c:formatCode>0.0</c:formatCode>
                <c:ptCount val="351"/>
                <c:pt idx="0">
                  <c:v>50.835083508350841</c:v>
                </c:pt>
                <c:pt idx="1">
                  <c:v>56.305630563056312</c:v>
                </c:pt>
                <c:pt idx="2">
                  <c:v>64.086408640864093</c:v>
                </c:pt>
                <c:pt idx="3">
                  <c:v>72.797279727972807</c:v>
                </c:pt>
                <c:pt idx="4">
                  <c:v>80.368036803680383</c:v>
                </c:pt>
                <c:pt idx="5">
                  <c:v>86.048604860486066</c:v>
                </c:pt>
                <c:pt idx="6">
                  <c:v>90.219021902190221</c:v>
                </c:pt>
                <c:pt idx="7">
                  <c:v>93.299329932993317</c:v>
                </c:pt>
                <c:pt idx="8">
                  <c:v>95.549554955495566</c:v>
                </c:pt>
                <c:pt idx="9">
                  <c:v>97.169716971697184</c:v>
                </c:pt>
                <c:pt idx="10">
                  <c:v>98.329832983298331</c:v>
                </c:pt>
                <c:pt idx="11">
                  <c:v>99.099909990999123</c:v>
                </c:pt>
                <c:pt idx="12">
                  <c:v>99.589958995899607</c:v>
                </c:pt>
                <c:pt idx="13">
                  <c:v>99.869986998699886</c:v>
                </c:pt>
                <c:pt idx="14">
                  <c:v>100.00000000000001</c:v>
                </c:pt>
                <c:pt idx="15">
                  <c:v>99.969996999699973</c:v>
                </c:pt>
                <c:pt idx="16">
                  <c:v>99.819981998199836</c:v>
                </c:pt>
                <c:pt idx="17">
                  <c:v>99.629962996299653</c:v>
                </c:pt>
                <c:pt idx="18">
                  <c:v>99.369936993699383</c:v>
                </c:pt>
                <c:pt idx="19">
                  <c:v>99.049904990499073</c:v>
                </c:pt>
                <c:pt idx="20">
                  <c:v>98.679867986798698</c:v>
                </c:pt>
                <c:pt idx="21">
                  <c:v>98.2898289828983</c:v>
                </c:pt>
                <c:pt idx="22">
                  <c:v>97.889788978897897</c:v>
                </c:pt>
                <c:pt idx="23">
                  <c:v>97.47974797479749</c:v>
                </c:pt>
                <c:pt idx="24">
                  <c:v>97.089708970897107</c:v>
                </c:pt>
                <c:pt idx="25">
                  <c:v>96.709670967096727</c:v>
                </c:pt>
                <c:pt idx="26">
                  <c:v>96.289628962896302</c:v>
                </c:pt>
                <c:pt idx="27">
                  <c:v>95.839583958395849</c:v>
                </c:pt>
                <c:pt idx="28">
                  <c:v>95.389538953895396</c:v>
                </c:pt>
                <c:pt idx="29">
                  <c:v>94.949494949494962</c:v>
                </c:pt>
                <c:pt idx="30">
                  <c:v>94.489448944894505</c:v>
                </c:pt>
                <c:pt idx="31">
                  <c:v>94.06940694069408</c:v>
                </c:pt>
                <c:pt idx="32">
                  <c:v>93.669366936693677</c:v>
                </c:pt>
                <c:pt idx="33">
                  <c:v>93.279327932793294</c:v>
                </c:pt>
                <c:pt idx="34">
                  <c:v>92.869286928692887</c:v>
                </c:pt>
                <c:pt idx="35">
                  <c:v>92.439243924392457</c:v>
                </c:pt>
                <c:pt idx="36">
                  <c:v>92.009200920092027</c:v>
                </c:pt>
                <c:pt idx="37">
                  <c:v>91.589158915891602</c:v>
                </c:pt>
                <c:pt idx="38">
                  <c:v>91.159115911591172</c:v>
                </c:pt>
                <c:pt idx="39">
                  <c:v>90.739073907390761</c:v>
                </c:pt>
                <c:pt idx="40">
                  <c:v>90.309030903090317</c:v>
                </c:pt>
                <c:pt idx="41">
                  <c:v>89.888988898889892</c:v>
                </c:pt>
                <c:pt idx="42">
                  <c:v>89.488948894889504</c:v>
                </c:pt>
                <c:pt idx="43">
                  <c:v>89.058905890589074</c:v>
                </c:pt>
                <c:pt idx="44">
                  <c:v>88.598859885988617</c:v>
                </c:pt>
                <c:pt idx="45">
                  <c:v>88.158815881588183</c:v>
                </c:pt>
                <c:pt idx="46">
                  <c:v>87.748774877487762</c:v>
                </c:pt>
                <c:pt idx="47">
                  <c:v>87.348734873487359</c:v>
                </c:pt>
                <c:pt idx="48">
                  <c:v>86.938693869386952</c:v>
                </c:pt>
                <c:pt idx="49">
                  <c:v>86.518651865186541</c:v>
                </c:pt>
                <c:pt idx="50">
                  <c:v>86.078607860786079</c:v>
                </c:pt>
                <c:pt idx="51">
                  <c:v>85.618561856185636</c:v>
                </c:pt>
                <c:pt idx="52">
                  <c:v>85.178517851785188</c:v>
                </c:pt>
                <c:pt idx="53">
                  <c:v>84.768476847684781</c:v>
                </c:pt>
                <c:pt idx="54">
                  <c:v>84.35843584358436</c:v>
                </c:pt>
                <c:pt idx="55">
                  <c:v>83.958395839583972</c:v>
                </c:pt>
                <c:pt idx="56">
                  <c:v>83.548354835483565</c:v>
                </c:pt>
                <c:pt idx="57">
                  <c:v>83.128312831283139</c:v>
                </c:pt>
                <c:pt idx="58">
                  <c:v>82.718271827182718</c:v>
                </c:pt>
                <c:pt idx="59">
                  <c:v>82.288228822882303</c:v>
                </c:pt>
                <c:pt idx="60">
                  <c:v>81.878187818781896</c:v>
                </c:pt>
                <c:pt idx="61">
                  <c:v>81.458145814581471</c:v>
                </c:pt>
                <c:pt idx="62">
                  <c:v>81.048104810481064</c:v>
                </c:pt>
                <c:pt idx="63">
                  <c:v>80.628062806280639</c:v>
                </c:pt>
                <c:pt idx="64">
                  <c:v>80.218021802180218</c:v>
                </c:pt>
                <c:pt idx="65">
                  <c:v>79.827982798279834</c:v>
                </c:pt>
                <c:pt idx="66">
                  <c:v>79.447944794479454</c:v>
                </c:pt>
                <c:pt idx="67">
                  <c:v>79.057905790579071</c:v>
                </c:pt>
                <c:pt idx="68">
                  <c:v>78.647864786478664</c:v>
                </c:pt>
                <c:pt idx="69">
                  <c:v>78.21782178217822</c:v>
                </c:pt>
                <c:pt idx="70">
                  <c:v>77.817781778177832</c:v>
                </c:pt>
                <c:pt idx="71">
                  <c:v>77.427742774277434</c:v>
                </c:pt>
                <c:pt idx="72">
                  <c:v>77.017701770177027</c:v>
                </c:pt>
                <c:pt idx="73">
                  <c:v>76.597659765976616</c:v>
                </c:pt>
                <c:pt idx="74">
                  <c:v>76.187618761876209</c:v>
                </c:pt>
                <c:pt idx="75">
                  <c:v>75.807580758075815</c:v>
                </c:pt>
                <c:pt idx="76">
                  <c:v>75.427542754275436</c:v>
                </c:pt>
                <c:pt idx="77">
                  <c:v>75.037503750375052</c:v>
                </c:pt>
                <c:pt idx="78">
                  <c:v>74.63746374637465</c:v>
                </c:pt>
                <c:pt idx="79">
                  <c:v>74.247424742474252</c:v>
                </c:pt>
                <c:pt idx="80">
                  <c:v>73.877387738773891</c:v>
                </c:pt>
                <c:pt idx="81">
                  <c:v>73.487348734873507</c:v>
                </c:pt>
                <c:pt idx="82">
                  <c:v>73.107310731073113</c:v>
                </c:pt>
                <c:pt idx="83">
                  <c:v>72.747274727472757</c:v>
                </c:pt>
                <c:pt idx="84">
                  <c:v>72.387238723872386</c:v>
                </c:pt>
                <c:pt idx="85">
                  <c:v>71.987198719871998</c:v>
                </c:pt>
                <c:pt idx="86">
                  <c:v>71.597159715971614</c:v>
                </c:pt>
                <c:pt idx="87">
                  <c:v>71.197119711971212</c:v>
                </c:pt>
                <c:pt idx="88">
                  <c:v>70.817081708170832</c:v>
                </c:pt>
                <c:pt idx="89">
                  <c:v>70.447044704470457</c:v>
                </c:pt>
                <c:pt idx="90">
                  <c:v>70.087008700870101</c:v>
                </c:pt>
                <c:pt idx="91">
                  <c:v>69.706970697069721</c:v>
                </c:pt>
                <c:pt idx="92">
                  <c:v>69.326932693269328</c:v>
                </c:pt>
                <c:pt idx="93">
                  <c:v>68.956895689568967</c:v>
                </c:pt>
                <c:pt idx="94">
                  <c:v>68.59685968596861</c:v>
                </c:pt>
                <c:pt idx="95">
                  <c:v>68.246824682468258</c:v>
                </c:pt>
                <c:pt idx="96">
                  <c:v>67.866786678667879</c:v>
                </c:pt>
                <c:pt idx="97">
                  <c:v>67.496749674967504</c:v>
                </c:pt>
                <c:pt idx="98">
                  <c:v>67.136713671367147</c:v>
                </c:pt>
                <c:pt idx="99">
                  <c:v>66.786678667866795</c:v>
                </c:pt>
                <c:pt idx="100">
                  <c:v>66.436643664366457</c:v>
                </c:pt>
                <c:pt idx="101">
                  <c:v>66.086608660866091</c:v>
                </c:pt>
                <c:pt idx="102">
                  <c:v>65.706570657065726</c:v>
                </c:pt>
                <c:pt idx="103">
                  <c:v>65.346534653465355</c:v>
                </c:pt>
                <c:pt idx="104">
                  <c:v>65.006500650065021</c:v>
                </c:pt>
                <c:pt idx="105">
                  <c:v>64.666466646664674</c:v>
                </c:pt>
                <c:pt idx="106">
                  <c:v>64.296429642964313</c:v>
                </c:pt>
                <c:pt idx="107">
                  <c:v>63.946394639463954</c:v>
                </c:pt>
                <c:pt idx="108">
                  <c:v>63.616361636163624</c:v>
                </c:pt>
                <c:pt idx="109">
                  <c:v>63.276327632763291</c:v>
                </c:pt>
                <c:pt idx="110">
                  <c:v>62.926292629262939</c:v>
                </c:pt>
                <c:pt idx="111">
                  <c:v>62.586258625862591</c:v>
                </c:pt>
                <c:pt idx="112">
                  <c:v>62.246224622462258</c:v>
                </c:pt>
                <c:pt idx="113">
                  <c:v>61.906190619061917</c:v>
                </c:pt>
                <c:pt idx="114">
                  <c:v>61.566156615661576</c:v>
                </c:pt>
                <c:pt idx="115">
                  <c:v>61.226122612261236</c:v>
                </c:pt>
                <c:pt idx="116">
                  <c:v>60.896089608960907</c:v>
                </c:pt>
                <c:pt idx="117">
                  <c:v>60.556055605560559</c:v>
                </c:pt>
                <c:pt idx="118">
                  <c:v>60.216021602160225</c:v>
                </c:pt>
                <c:pt idx="119">
                  <c:v>59.905990599059912</c:v>
                </c:pt>
                <c:pt idx="120">
                  <c:v>59.585958595859594</c:v>
                </c:pt>
                <c:pt idx="121">
                  <c:v>59.255925592559265</c:v>
                </c:pt>
                <c:pt idx="122">
                  <c:v>58.925892589258936</c:v>
                </c:pt>
                <c:pt idx="123">
                  <c:v>58.615861586158623</c:v>
                </c:pt>
                <c:pt idx="124">
                  <c:v>58.295829582958305</c:v>
                </c:pt>
                <c:pt idx="125">
                  <c:v>57.97579757975798</c:v>
                </c:pt>
                <c:pt idx="126">
                  <c:v>57.645764576457651</c:v>
                </c:pt>
                <c:pt idx="127">
                  <c:v>57.325732573257334</c:v>
                </c:pt>
                <c:pt idx="128">
                  <c:v>56.995699569957004</c:v>
                </c:pt>
                <c:pt idx="129">
                  <c:v>56.695669566956703</c:v>
                </c:pt>
                <c:pt idx="130">
                  <c:v>56.385638563856396</c:v>
                </c:pt>
                <c:pt idx="131">
                  <c:v>56.065606560656079</c:v>
                </c:pt>
                <c:pt idx="132">
                  <c:v>55.735573557355742</c:v>
                </c:pt>
                <c:pt idx="133">
                  <c:v>55.445544554455452</c:v>
                </c:pt>
                <c:pt idx="134">
                  <c:v>55.155515551555162</c:v>
                </c:pt>
                <c:pt idx="135">
                  <c:v>54.835483548354844</c:v>
                </c:pt>
                <c:pt idx="136">
                  <c:v>54.505450545054515</c:v>
                </c:pt>
                <c:pt idx="137">
                  <c:v>54.195419541954202</c:v>
                </c:pt>
                <c:pt idx="138">
                  <c:v>53.8953895389539</c:v>
                </c:pt>
                <c:pt idx="139">
                  <c:v>53.605360536053617</c:v>
                </c:pt>
                <c:pt idx="140">
                  <c:v>53.325332533253331</c:v>
                </c:pt>
                <c:pt idx="141">
                  <c:v>53.025302530253036</c:v>
                </c:pt>
                <c:pt idx="142">
                  <c:v>52.725272527252734</c:v>
                </c:pt>
                <c:pt idx="143">
                  <c:v>52.435243524352444</c:v>
                </c:pt>
                <c:pt idx="144">
                  <c:v>52.145214521452154</c:v>
                </c:pt>
                <c:pt idx="145">
                  <c:v>51.855185518551863</c:v>
                </c:pt>
                <c:pt idx="146">
                  <c:v>51.565156515651573</c:v>
                </c:pt>
                <c:pt idx="147">
                  <c:v>51.285128512851294</c:v>
                </c:pt>
                <c:pt idx="148">
                  <c:v>51.005100510051015</c:v>
                </c:pt>
                <c:pt idx="149">
                  <c:v>50.725072507250729</c:v>
                </c:pt>
                <c:pt idx="150">
                  <c:v>50.455045504550462</c:v>
                </c:pt>
                <c:pt idx="151">
                  <c:v>50.185018501850195</c:v>
                </c:pt>
                <c:pt idx="152">
                  <c:v>49.904990499049909</c:v>
                </c:pt>
                <c:pt idx="153">
                  <c:v>49.604960496049614</c:v>
                </c:pt>
                <c:pt idx="154">
                  <c:v>49.314931493149324</c:v>
                </c:pt>
                <c:pt idx="155">
                  <c:v>49.044904490449049</c:v>
                </c:pt>
                <c:pt idx="156">
                  <c:v>48.784878487848793</c:v>
                </c:pt>
                <c:pt idx="157">
                  <c:v>48.494849484948503</c:v>
                </c:pt>
                <c:pt idx="158">
                  <c:v>48.214821482148224</c:v>
                </c:pt>
                <c:pt idx="159">
                  <c:v>47.964796479647973</c:v>
                </c:pt>
                <c:pt idx="160">
                  <c:v>47.744774477447756</c:v>
                </c:pt>
                <c:pt idx="161">
                  <c:v>47.474747474747481</c:v>
                </c:pt>
                <c:pt idx="162">
                  <c:v>47.174717471747186</c:v>
                </c:pt>
                <c:pt idx="163">
                  <c:v>46.914691469146916</c:v>
                </c:pt>
                <c:pt idx="164">
                  <c:v>46.684668466846688</c:v>
                </c:pt>
                <c:pt idx="165">
                  <c:v>46.424642464246432</c:v>
                </c:pt>
                <c:pt idx="166">
                  <c:v>46.144614461446153</c:v>
                </c:pt>
                <c:pt idx="167">
                  <c:v>45.894589458945902</c:v>
                </c:pt>
                <c:pt idx="168">
                  <c:v>45.654565456545662</c:v>
                </c:pt>
                <c:pt idx="169">
                  <c:v>45.40454045404541</c:v>
                </c:pt>
                <c:pt idx="170">
                  <c:v>45.144514451445154</c:v>
                </c:pt>
                <c:pt idx="171">
                  <c:v>44.894489448944903</c:v>
                </c:pt>
                <c:pt idx="172">
                  <c:v>44.624462446244628</c:v>
                </c:pt>
                <c:pt idx="173">
                  <c:v>44.374437443744377</c:v>
                </c:pt>
                <c:pt idx="174">
                  <c:v>44.134413441344144</c:v>
                </c:pt>
                <c:pt idx="175">
                  <c:v>43.904390439043908</c:v>
                </c:pt>
                <c:pt idx="176">
                  <c:v>43.664366436643668</c:v>
                </c:pt>
                <c:pt idx="177">
                  <c:v>43.414341434143417</c:v>
                </c:pt>
                <c:pt idx="178">
                  <c:v>43.174317431743184</c:v>
                </c:pt>
                <c:pt idx="179">
                  <c:v>42.944294429442948</c:v>
                </c:pt>
                <c:pt idx="180">
                  <c:v>42.704270427042715</c:v>
                </c:pt>
                <c:pt idx="181">
                  <c:v>42.454245424542464</c:v>
                </c:pt>
                <c:pt idx="182">
                  <c:v>42.204220422042212</c:v>
                </c:pt>
                <c:pt idx="183">
                  <c:v>41.974197419741976</c:v>
                </c:pt>
                <c:pt idx="184">
                  <c:v>41.754175417541759</c:v>
                </c:pt>
                <c:pt idx="185">
                  <c:v>41.534153415341542</c:v>
                </c:pt>
                <c:pt idx="186">
                  <c:v>41.294129412941302</c:v>
                </c:pt>
                <c:pt idx="187">
                  <c:v>41.054105410541055</c:v>
                </c:pt>
                <c:pt idx="188">
                  <c:v>40.824082408240827</c:v>
                </c:pt>
                <c:pt idx="189">
                  <c:v>40.60406040604061</c:v>
                </c:pt>
                <c:pt idx="190">
                  <c:v>40.394039403940397</c:v>
                </c:pt>
                <c:pt idx="191">
                  <c:v>40.17401740174018</c:v>
                </c:pt>
                <c:pt idx="192">
                  <c:v>39.953995399539963</c:v>
                </c:pt>
                <c:pt idx="193">
                  <c:v>39.713971397139723</c:v>
                </c:pt>
                <c:pt idx="194">
                  <c:v>39.483948394839487</c:v>
                </c:pt>
                <c:pt idx="195">
                  <c:v>39.26392639263927</c:v>
                </c:pt>
                <c:pt idx="196">
                  <c:v>39.043904390439046</c:v>
                </c:pt>
                <c:pt idx="197">
                  <c:v>38.823882388238829</c:v>
                </c:pt>
                <c:pt idx="198">
                  <c:v>38.613861386138616</c:v>
                </c:pt>
                <c:pt idx="199">
                  <c:v>38.403840384038411</c:v>
                </c:pt>
                <c:pt idx="200">
                  <c:v>38.183818381838186</c:v>
                </c:pt>
                <c:pt idx="201">
                  <c:v>37.963796379637969</c:v>
                </c:pt>
                <c:pt idx="202">
                  <c:v>37.77377737773778</c:v>
                </c:pt>
                <c:pt idx="203">
                  <c:v>37.573757375737578</c:v>
                </c:pt>
                <c:pt idx="204">
                  <c:v>37.363736373637366</c:v>
                </c:pt>
                <c:pt idx="205">
                  <c:v>37.15371537153716</c:v>
                </c:pt>
                <c:pt idx="206">
                  <c:v>36.943694369436948</c:v>
                </c:pt>
                <c:pt idx="207">
                  <c:v>36.743674367436753</c:v>
                </c:pt>
                <c:pt idx="208">
                  <c:v>36.553655365536557</c:v>
                </c:pt>
                <c:pt idx="209">
                  <c:v>36.353635363536362</c:v>
                </c:pt>
                <c:pt idx="210">
                  <c:v>36.14361436143615</c:v>
                </c:pt>
                <c:pt idx="211">
                  <c:v>35.943594359435949</c:v>
                </c:pt>
                <c:pt idx="212">
                  <c:v>35.753575357535759</c:v>
                </c:pt>
                <c:pt idx="213">
                  <c:v>35.553555355535558</c:v>
                </c:pt>
                <c:pt idx="214">
                  <c:v>35.343534353435352</c:v>
                </c:pt>
                <c:pt idx="215">
                  <c:v>35.133513351335139</c:v>
                </c:pt>
                <c:pt idx="216">
                  <c:v>34.933493349334938</c:v>
                </c:pt>
                <c:pt idx="217">
                  <c:v>34.733473347334737</c:v>
                </c:pt>
                <c:pt idx="218">
                  <c:v>34.553455345534559</c:v>
                </c:pt>
                <c:pt idx="219">
                  <c:v>34.373437343734373</c:v>
                </c:pt>
                <c:pt idx="220">
                  <c:v>34.193419341934195</c:v>
                </c:pt>
                <c:pt idx="221">
                  <c:v>33.993399339934001</c:v>
                </c:pt>
                <c:pt idx="222">
                  <c:v>33.803380338033804</c:v>
                </c:pt>
                <c:pt idx="223">
                  <c:v>33.613361336133615</c:v>
                </c:pt>
                <c:pt idx="224">
                  <c:v>33.413341334133413</c:v>
                </c:pt>
                <c:pt idx="225">
                  <c:v>33.213321332133219</c:v>
                </c:pt>
                <c:pt idx="226">
                  <c:v>33.02330233023303</c:v>
                </c:pt>
                <c:pt idx="227">
                  <c:v>32.853285328532863</c:v>
                </c:pt>
                <c:pt idx="228">
                  <c:v>32.683268326832689</c:v>
                </c:pt>
                <c:pt idx="229">
                  <c:v>32.493249324932499</c:v>
                </c:pt>
                <c:pt idx="230">
                  <c:v>32.313231323132321</c:v>
                </c:pt>
                <c:pt idx="231">
                  <c:v>32.143214321432147</c:v>
                </c:pt>
                <c:pt idx="232">
                  <c:v>31.973197319731977</c:v>
                </c:pt>
                <c:pt idx="233">
                  <c:v>31.783178317831787</c:v>
                </c:pt>
                <c:pt idx="234">
                  <c:v>31.603160316031609</c:v>
                </c:pt>
                <c:pt idx="235">
                  <c:v>31.44314431443145</c:v>
                </c:pt>
                <c:pt idx="236">
                  <c:v>31.283128312831288</c:v>
                </c:pt>
                <c:pt idx="237">
                  <c:v>31.113111311131117</c:v>
                </c:pt>
                <c:pt idx="238">
                  <c:v>30.943094309430947</c:v>
                </c:pt>
                <c:pt idx="239">
                  <c:v>30.763076307630769</c:v>
                </c:pt>
                <c:pt idx="240">
                  <c:v>30.60306030603061</c:v>
                </c:pt>
                <c:pt idx="241">
                  <c:v>30.443044304430448</c:v>
                </c:pt>
                <c:pt idx="242">
                  <c:v>30.283028302830289</c:v>
                </c:pt>
                <c:pt idx="243">
                  <c:v>30.12301230123013</c:v>
                </c:pt>
                <c:pt idx="244">
                  <c:v>29.962996299629967</c:v>
                </c:pt>
                <c:pt idx="245">
                  <c:v>29.792979297929797</c:v>
                </c:pt>
                <c:pt idx="246">
                  <c:v>29.602960296029607</c:v>
                </c:pt>
                <c:pt idx="247">
                  <c:v>29.442944294429449</c:v>
                </c:pt>
                <c:pt idx="248">
                  <c:v>29.312931293129317</c:v>
                </c:pt>
                <c:pt idx="249">
                  <c:v>29.172917291729178</c:v>
                </c:pt>
                <c:pt idx="250">
                  <c:v>29.012901290129019</c:v>
                </c:pt>
                <c:pt idx="251">
                  <c:v>28.842884288428845</c:v>
                </c:pt>
                <c:pt idx="252">
                  <c:v>28.672867286728678</c:v>
                </c:pt>
                <c:pt idx="253">
                  <c:v>28.512851285128519</c:v>
                </c:pt>
                <c:pt idx="254">
                  <c:v>28.352835283528357</c:v>
                </c:pt>
                <c:pt idx="255">
                  <c:v>28.212821282128218</c:v>
                </c:pt>
                <c:pt idx="256">
                  <c:v>28.062806280628067</c:v>
                </c:pt>
                <c:pt idx="257">
                  <c:v>27.892789278927896</c:v>
                </c:pt>
                <c:pt idx="258">
                  <c:v>27.732773277327738</c:v>
                </c:pt>
                <c:pt idx="259">
                  <c:v>27.582758275827587</c:v>
                </c:pt>
                <c:pt idx="260">
                  <c:v>27.442744274427447</c:v>
                </c:pt>
                <c:pt idx="261">
                  <c:v>27.282728272827288</c:v>
                </c:pt>
                <c:pt idx="262">
                  <c:v>27.122712271227126</c:v>
                </c:pt>
                <c:pt idx="263">
                  <c:v>26.972697269726975</c:v>
                </c:pt>
                <c:pt idx="264">
                  <c:v>26.832683268326836</c:v>
                </c:pt>
                <c:pt idx="265">
                  <c:v>26.692669266926696</c:v>
                </c:pt>
                <c:pt idx="266">
                  <c:v>26.542654265426545</c:v>
                </c:pt>
                <c:pt idx="267">
                  <c:v>26.382638263826387</c:v>
                </c:pt>
                <c:pt idx="268">
                  <c:v>26.252625262526255</c:v>
                </c:pt>
                <c:pt idx="269">
                  <c:v>26.122612261226127</c:v>
                </c:pt>
                <c:pt idx="270">
                  <c:v>25.982598259825988</c:v>
                </c:pt>
                <c:pt idx="271">
                  <c:v>25.852585258525856</c:v>
                </c:pt>
                <c:pt idx="272">
                  <c:v>25.702570257025705</c:v>
                </c:pt>
                <c:pt idx="273">
                  <c:v>25.552555255525558</c:v>
                </c:pt>
                <c:pt idx="274">
                  <c:v>25.422542254225426</c:v>
                </c:pt>
                <c:pt idx="275">
                  <c:v>25.292529252925295</c:v>
                </c:pt>
                <c:pt idx="276">
                  <c:v>25.152515251525156</c:v>
                </c:pt>
                <c:pt idx="277">
                  <c:v>25.012501250125016</c:v>
                </c:pt>
                <c:pt idx="278">
                  <c:v>24.872487248724877</c:v>
                </c:pt>
                <c:pt idx="279">
                  <c:v>24.732473247324737</c:v>
                </c:pt>
                <c:pt idx="280">
                  <c:v>24.602460246024606</c:v>
                </c:pt>
                <c:pt idx="281">
                  <c:v>24.472447244724474</c:v>
                </c:pt>
                <c:pt idx="282">
                  <c:v>24.332433243324335</c:v>
                </c:pt>
                <c:pt idx="283">
                  <c:v>24.182418241824184</c:v>
                </c:pt>
                <c:pt idx="284">
                  <c:v>24.052405240524056</c:v>
                </c:pt>
                <c:pt idx="285">
                  <c:v>23.922392239223928</c:v>
                </c:pt>
                <c:pt idx="286">
                  <c:v>23.792379237923797</c:v>
                </c:pt>
                <c:pt idx="287">
                  <c:v>23.662366236623665</c:v>
                </c:pt>
                <c:pt idx="288">
                  <c:v>23.532353235323537</c:v>
                </c:pt>
                <c:pt idx="289">
                  <c:v>23.412341234123417</c:v>
                </c:pt>
                <c:pt idx="290">
                  <c:v>23.272327232723274</c:v>
                </c:pt>
                <c:pt idx="291">
                  <c:v>23.152315231523154</c:v>
                </c:pt>
                <c:pt idx="292">
                  <c:v>23.042304230423046</c:v>
                </c:pt>
                <c:pt idx="293">
                  <c:v>22.922292229222926</c:v>
                </c:pt>
                <c:pt idx="294">
                  <c:v>22.802280228022806</c:v>
                </c:pt>
                <c:pt idx="295">
                  <c:v>22.682268226822686</c:v>
                </c:pt>
                <c:pt idx="296">
                  <c:v>22.542254225422546</c:v>
                </c:pt>
                <c:pt idx="297">
                  <c:v>22.412241224122415</c:v>
                </c:pt>
                <c:pt idx="298">
                  <c:v>22.292229222922295</c:v>
                </c:pt>
                <c:pt idx="299">
                  <c:v>22.162216221622167</c:v>
                </c:pt>
                <c:pt idx="300">
                  <c:v>22.042204220422043</c:v>
                </c:pt>
                <c:pt idx="301">
                  <c:v>21.922192219221927</c:v>
                </c:pt>
                <c:pt idx="302">
                  <c:v>21.812181218121815</c:v>
                </c:pt>
                <c:pt idx="303">
                  <c:v>21.692169216921698</c:v>
                </c:pt>
                <c:pt idx="304">
                  <c:v>21.572157215721575</c:v>
                </c:pt>
                <c:pt idx="305">
                  <c:v>21.452145214521455</c:v>
                </c:pt>
                <c:pt idx="306">
                  <c:v>21.352135213521358</c:v>
                </c:pt>
                <c:pt idx="307">
                  <c:v>21.232123212321234</c:v>
                </c:pt>
                <c:pt idx="308">
                  <c:v>21.112111211121114</c:v>
                </c:pt>
                <c:pt idx="309">
                  <c:v>20.992099209920994</c:v>
                </c:pt>
                <c:pt idx="310">
                  <c:v>20.882088208820885</c:v>
                </c:pt>
                <c:pt idx="311">
                  <c:v>20.772077207720773</c:v>
                </c:pt>
                <c:pt idx="312">
                  <c:v>20.672067206720676</c:v>
                </c:pt>
                <c:pt idx="313">
                  <c:v>20.562056205620564</c:v>
                </c:pt>
                <c:pt idx="314">
                  <c:v>20.452045204520456</c:v>
                </c:pt>
                <c:pt idx="315">
                  <c:v>20.332033203320332</c:v>
                </c:pt>
                <c:pt idx="316">
                  <c:v>20.212021202120216</c:v>
                </c:pt>
                <c:pt idx="317">
                  <c:v>20.092009200920096</c:v>
                </c:pt>
                <c:pt idx="318">
                  <c:v>19.981998199819984</c:v>
                </c:pt>
                <c:pt idx="319">
                  <c:v>19.871987198719875</c:v>
                </c:pt>
                <c:pt idx="320">
                  <c:v>19.751975197519755</c:v>
                </c:pt>
                <c:pt idx="321">
                  <c:v>19.651965196519654</c:v>
                </c:pt>
                <c:pt idx="322">
                  <c:v>19.551955195519554</c:v>
                </c:pt>
                <c:pt idx="323">
                  <c:v>19.451945194519453</c:v>
                </c:pt>
                <c:pt idx="324">
                  <c:v>19.341934193419345</c:v>
                </c:pt>
                <c:pt idx="325">
                  <c:v>19.241924192419244</c:v>
                </c:pt>
                <c:pt idx="326">
                  <c:v>19.131913191319132</c:v>
                </c:pt>
                <c:pt idx="327">
                  <c:v>19.041904190419043</c:v>
                </c:pt>
                <c:pt idx="328">
                  <c:v>18.951895189518954</c:v>
                </c:pt>
                <c:pt idx="329">
                  <c:v>18.851885188518857</c:v>
                </c:pt>
                <c:pt idx="330">
                  <c:v>18.751875187518756</c:v>
                </c:pt>
                <c:pt idx="331">
                  <c:v>18.651865186518652</c:v>
                </c:pt>
                <c:pt idx="332">
                  <c:v>18.561856185618563</c:v>
                </c:pt>
                <c:pt idx="333">
                  <c:v>18.461846184618466</c:v>
                </c:pt>
                <c:pt idx="334">
                  <c:v>18.361836183618365</c:v>
                </c:pt>
                <c:pt idx="335">
                  <c:v>18.251825182518253</c:v>
                </c:pt>
                <c:pt idx="336">
                  <c:v>18.151815181518153</c:v>
                </c:pt>
                <c:pt idx="337">
                  <c:v>18.041804180418044</c:v>
                </c:pt>
                <c:pt idx="338">
                  <c:v>17.941794179417947</c:v>
                </c:pt>
                <c:pt idx="339">
                  <c:v>17.841784178417843</c:v>
                </c:pt>
                <c:pt idx="340">
                  <c:v>17.741774177417742</c:v>
                </c:pt>
                <c:pt idx="341">
                  <c:v>17.641764176417645</c:v>
                </c:pt>
                <c:pt idx="342">
                  <c:v>17.551755175517556</c:v>
                </c:pt>
                <c:pt idx="343">
                  <c:v>17.471747174717471</c:v>
                </c:pt>
                <c:pt idx="344">
                  <c:v>17.381738173817382</c:v>
                </c:pt>
                <c:pt idx="345">
                  <c:v>17.301730173017305</c:v>
                </c:pt>
                <c:pt idx="346">
                  <c:v>17.211721172117215</c:v>
                </c:pt>
                <c:pt idx="347">
                  <c:v>17.111711171117115</c:v>
                </c:pt>
                <c:pt idx="348">
                  <c:v>17.011701170117014</c:v>
                </c:pt>
                <c:pt idx="349">
                  <c:v>16.931693169316933</c:v>
                </c:pt>
                <c:pt idx="350">
                  <c:v>16.851685168516855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80512"/>
        <c:axId val="87507712"/>
      </c:scatterChart>
      <c:valAx>
        <c:axId val="86080512"/>
        <c:scaling>
          <c:orientation val="minMax"/>
          <c:max val="150"/>
        </c:scaling>
        <c:delete val="0"/>
        <c:axPos val="b"/>
        <c:numFmt formatCode="General" sourceLinked="1"/>
        <c:majorTickMark val="out"/>
        <c:minorTickMark val="none"/>
        <c:tickLblPos val="nextTo"/>
        <c:crossAx val="87507712"/>
        <c:crosses val="autoZero"/>
        <c:crossBetween val="midCat"/>
      </c:valAx>
      <c:valAx>
        <c:axId val="8750771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860805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Ref>
              <c:f>'6X PDD'!$B$4:$O$4</c:f>
              <c:numCache>
                <c:formatCode>0.0</c:formatCode>
                <c:ptCount val="14"/>
                <c:pt idx="0">
                  <c:v>67.880364109232758</c:v>
                </c:pt>
                <c:pt idx="1">
                  <c:v>44.78895779155831</c:v>
                </c:pt>
                <c:pt idx="2">
                  <c:v>45.348139255702286</c:v>
                </c:pt>
                <c:pt idx="3">
                  <c:v>46.56396919075722</c:v>
                </c:pt>
                <c:pt idx="4">
                  <c:v>47.309461892378472</c:v>
                </c:pt>
                <c:pt idx="5">
                  <c:v>48.739747949589912</c:v>
                </c:pt>
                <c:pt idx="6">
                  <c:v>49.034903490349045</c:v>
                </c:pt>
                <c:pt idx="7">
                  <c:v>50.835083508350841</c:v>
                </c:pt>
                <c:pt idx="8">
                  <c:v>51.9</c:v>
                </c:pt>
                <c:pt idx="9">
                  <c:v>54.620924184836966</c:v>
                </c:pt>
                <c:pt idx="10">
                  <c:v>58.627588276482939</c:v>
                </c:pt>
                <c:pt idx="11">
                  <c:v>62.266226622662273</c:v>
                </c:pt>
                <c:pt idx="12">
                  <c:v>65.313062612522501</c:v>
                </c:pt>
                <c:pt idx="13">
                  <c:v>69.286928692869296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27808"/>
        <c:axId val="87529344"/>
      </c:scatterChart>
      <c:valAx>
        <c:axId val="87527808"/>
        <c:scaling>
          <c:orientation val="minMax"/>
        </c:scaling>
        <c:delete val="0"/>
        <c:axPos val="b"/>
        <c:majorTickMark val="out"/>
        <c:minorTickMark val="none"/>
        <c:tickLblPos val="nextTo"/>
        <c:crossAx val="87529344"/>
        <c:crosses val="autoZero"/>
        <c:crossBetween val="midCat"/>
      </c:valAx>
      <c:valAx>
        <c:axId val="8752934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8752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'6X TPRs'!$B$5:$B$39</c:f>
              <c:numCache>
                <c:formatCode>General</c:formatCode>
                <c:ptCount val="35"/>
                <c:pt idx="0">
                  <c:v>1.4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33.000000000000099</c:v>
                </c:pt>
                <c:pt idx="33">
                  <c:v>34.000000000000099</c:v>
                </c:pt>
                <c:pt idx="34">
                  <c:v>35.000000000000099</c:v>
                </c:pt>
              </c:numCache>
            </c:numRef>
          </c:xVal>
          <c:yVal>
            <c:numRef>
              <c:f>'6X TPRs'!$J$5:$J$39</c:f>
              <c:numCache>
                <c:formatCode>0.000</c:formatCode>
                <c:ptCount val="35"/>
                <c:pt idx="0">
                  <c:v>1.0860959403993073</c:v>
                </c:pt>
                <c:pt idx="1">
                  <c:v>1.0842471836232812</c:v>
                </c:pt>
                <c:pt idx="2">
                  <c:v>1.0583033114621565</c:v>
                </c:pt>
                <c:pt idx="3">
                  <c:v>1.0301893648155172</c:v>
                </c:pt>
                <c:pt idx="4">
                  <c:v>1</c:v>
                </c:pt>
                <c:pt idx="5">
                  <c:v>0.96819279372523914</c:v>
                </c:pt>
                <c:pt idx="6">
                  <c:v>0.93633034561060491</c:v>
                </c:pt>
                <c:pt idx="7">
                  <c:v>0.90430183103474782</c:v>
                </c:pt>
                <c:pt idx="8">
                  <c:v>0.87198830333569066</c:v>
                </c:pt>
                <c:pt idx="9">
                  <c:v>0.8399987403338639</c:v>
                </c:pt>
                <c:pt idx="10">
                  <c:v>0.80838661427019898</c:v>
                </c:pt>
                <c:pt idx="11">
                  <c:v>0.77740451827256885</c:v>
                </c:pt>
                <c:pt idx="12">
                  <c:v>0.74752586899029883</c:v>
                </c:pt>
                <c:pt idx="13">
                  <c:v>0.71788278879524581</c:v>
                </c:pt>
                <c:pt idx="14">
                  <c:v>0.68934371143294637</c:v>
                </c:pt>
                <c:pt idx="15">
                  <c:v>0.6617020587379765</c:v>
                </c:pt>
                <c:pt idx="16">
                  <c:v>0.63534733165466084</c:v>
                </c:pt>
                <c:pt idx="17">
                  <c:v>0.6093177208183892</c:v>
                </c:pt>
                <c:pt idx="18">
                  <c:v>0.58446428019646168</c:v>
                </c:pt>
                <c:pt idx="19">
                  <c:v>0.56047907833022059</c:v>
                </c:pt>
                <c:pt idx="20">
                  <c:v>0.53771069704197394</c:v>
                </c:pt>
                <c:pt idx="21">
                  <c:v>0.51544068127508968</c:v>
                </c:pt>
                <c:pt idx="22">
                  <c:v>0.49424867117389676</c:v>
                </c:pt>
                <c:pt idx="23">
                  <c:v>0.4738929183224323</c:v>
                </c:pt>
                <c:pt idx="24">
                  <c:v>0.45500405899907759</c:v>
                </c:pt>
                <c:pt idx="25">
                  <c:v>0.43586125402638515</c:v>
                </c:pt>
                <c:pt idx="26">
                  <c:v>0.41801301357502685</c:v>
                </c:pt>
                <c:pt idx="27">
                  <c:v>0.40071760124416639</c:v>
                </c:pt>
                <c:pt idx="28">
                  <c:v>0.38379318577531923</c:v>
                </c:pt>
                <c:pt idx="29">
                  <c:v>0.36794664583097075</c:v>
                </c:pt>
                <c:pt idx="30">
                  <c:v>0.35310984885039437</c:v>
                </c:pt>
                <c:pt idx="31">
                  <c:v>0.33822056702789427</c:v>
                </c:pt>
                <c:pt idx="32">
                  <c:v>0.32491073205348536</c:v>
                </c:pt>
                <c:pt idx="33">
                  <c:v>0.31117113564511495</c:v>
                </c:pt>
                <c:pt idx="34">
                  <c:v>0.29916918391825531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77504"/>
        <c:axId val="97091584"/>
      </c:scatterChart>
      <c:valAx>
        <c:axId val="97077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091584"/>
        <c:crosses val="autoZero"/>
        <c:crossBetween val="midCat"/>
      </c:valAx>
      <c:valAx>
        <c:axId val="9709158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970775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'TPR from PDD basic'!$Q$4:$T$4</c:f>
              <c:numCache>
                <c:formatCode>General</c:formatCode>
                <c:ptCount val="4"/>
                <c:pt idx="0">
                  <c:v>7</c:v>
                </c:pt>
                <c:pt idx="1">
                  <c:v>8</c:v>
                </c:pt>
                <c:pt idx="2">
                  <c:v>10</c:v>
                </c:pt>
                <c:pt idx="3">
                  <c:v>20</c:v>
                </c:pt>
              </c:numCache>
            </c:numRef>
          </c:xVal>
          <c:yVal>
            <c:numRef>
              <c:f>'TPR from PDD basic'!$Q$5:$T$5</c:f>
              <c:numCache>
                <c:formatCode>0.0</c:formatCode>
                <c:ptCount val="4"/>
                <c:pt idx="0">
                  <c:v>64.612922584516895</c:v>
                </c:pt>
                <c:pt idx="1">
                  <c:v>65.206520652065223</c:v>
                </c:pt>
                <c:pt idx="2">
                  <c:v>66.436643664366457</c:v>
                </c:pt>
                <c:pt idx="3">
                  <c:v>67.37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138560"/>
        <c:axId val="97140096"/>
      </c:scatterChart>
      <c:valAx>
        <c:axId val="97138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7140096"/>
        <c:crosses val="autoZero"/>
        <c:crossBetween val="midCat"/>
      </c:valAx>
      <c:valAx>
        <c:axId val="9714009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971385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NPSF pg 90 BJR supp 25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NPSF!$C$1:$R$1</c:f>
              <c:numCache>
                <c:formatCode>General</c:formatCode>
                <c:ptCount val="16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120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</c:numCache>
            </c:numRef>
          </c:xVal>
          <c:yVal>
            <c:numRef>
              <c:f>NPSF!$C$2:$R$2</c:f>
              <c:numCache>
                <c:formatCode>General</c:formatCode>
                <c:ptCount val="16"/>
                <c:pt idx="0">
                  <c:v>0.97099999999999997</c:v>
                </c:pt>
                <c:pt idx="1">
                  <c:v>0.97499999999999998</c:v>
                </c:pt>
                <c:pt idx="2">
                  <c:v>0.97899999999999998</c:v>
                </c:pt>
                <c:pt idx="3">
                  <c:v>0.98299999999999998</c:v>
                </c:pt>
                <c:pt idx="4">
                  <c:v>0.98699999999999999</c:v>
                </c:pt>
                <c:pt idx="5">
                  <c:v>0.99</c:v>
                </c:pt>
                <c:pt idx="6">
                  <c:v>0.99399999999999999</c:v>
                </c:pt>
                <c:pt idx="7">
                  <c:v>0.997</c:v>
                </c:pt>
                <c:pt idx="8">
                  <c:v>1</c:v>
                </c:pt>
                <c:pt idx="9">
                  <c:v>1.006</c:v>
                </c:pt>
                <c:pt idx="10">
                  <c:v>1.0129999999999999</c:v>
                </c:pt>
                <c:pt idx="11">
                  <c:v>1.0229999999999999</c:v>
                </c:pt>
                <c:pt idx="12">
                  <c:v>1.0289999999999999</c:v>
                </c:pt>
                <c:pt idx="13">
                  <c:v>1.0329999999999999</c:v>
                </c:pt>
                <c:pt idx="14">
                  <c:v>1.0369999999999999</c:v>
                </c:pt>
                <c:pt idx="15">
                  <c:v>1.04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25728"/>
        <c:axId val="96827264"/>
      </c:scatterChart>
      <c:valAx>
        <c:axId val="9682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827264"/>
        <c:crosses val="autoZero"/>
        <c:crossBetween val="midCat"/>
      </c:valAx>
      <c:valAx>
        <c:axId val="9682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82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Ref>
              <c:f>'6X_PDD_RC'!$B$2:$P$2</c:f>
              <c:numCache>
                <c:formatCode>0.0</c:formatCode>
                <c:ptCount val="15"/>
                <c:pt idx="0">
                  <c:v>42</c:v>
                </c:pt>
                <c:pt idx="1">
                  <c:v>43</c:v>
                </c:pt>
                <c:pt idx="2">
                  <c:v>44.78895779155831</c:v>
                </c:pt>
                <c:pt idx="3">
                  <c:v>45.348139255702286</c:v>
                </c:pt>
                <c:pt idx="4">
                  <c:v>46.56396919075722</c:v>
                </c:pt>
                <c:pt idx="5">
                  <c:v>47.309461892378472</c:v>
                </c:pt>
                <c:pt idx="6">
                  <c:v>48.739747949589912</c:v>
                </c:pt>
                <c:pt idx="7">
                  <c:v>49.034903490349045</c:v>
                </c:pt>
                <c:pt idx="8">
                  <c:v>50.835083508350841</c:v>
                </c:pt>
                <c:pt idx="9">
                  <c:v>51.9</c:v>
                </c:pt>
                <c:pt idx="10">
                  <c:v>54.620924184836966</c:v>
                </c:pt>
                <c:pt idx="11">
                  <c:v>58.627588276482939</c:v>
                </c:pt>
                <c:pt idx="12">
                  <c:v>62.266226622662273</c:v>
                </c:pt>
                <c:pt idx="13">
                  <c:v>65.313062612522501</c:v>
                </c:pt>
                <c:pt idx="14">
                  <c:v>69.286928692869296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72384"/>
        <c:axId val="76670848"/>
      </c:scatterChart>
      <c:valAx>
        <c:axId val="76672384"/>
        <c:scaling>
          <c:orientation val="minMax"/>
        </c:scaling>
        <c:delete val="0"/>
        <c:axPos val="b"/>
        <c:majorTickMark val="out"/>
        <c:minorTickMark val="none"/>
        <c:tickLblPos val="nextTo"/>
        <c:crossAx val="76670848"/>
        <c:crosses val="autoZero"/>
        <c:crossBetween val="midCat"/>
      </c:valAx>
      <c:valAx>
        <c:axId val="76670848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766723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TPR for 10 cm field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10 cm field</c:v>
          </c:tx>
          <c:xVal>
            <c:numRef>
              <c:f>TPR_from_PDD_final!$A$2:$A$352</c:f>
              <c:numCache>
                <c:formatCode>General</c:formatCode>
                <c:ptCount val="3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</c:numCache>
            </c:numRef>
          </c:xVal>
          <c:yVal>
            <c:numRef>
              <c:f>TPR_from_PDD_final!$I$2:$I$351</c:f>
              <c:numCache>
                <c:formatCode>0.000</c:formatCode>
                <c:ptCount val="350"/>
                <c:pt idx="0">
                  <c:v>0.53721456110185994</c:v>
                </c:pt>
                <c:pt idx="1">
                  <c:v>0.59609896773688364</c:v>
                </c:pt>
                <c:pt idx="2">
                  <c:v>0.67974595926003833</c:v>
                </c:pt>
                <c:pt idx="3">
                  <c:v>0.77364514595175304</c:v>
                </c:pt>
                <c:pt idx="4">
                  <c:v>0.85578500078449915</c:v>
                </c:pt>
                <c:pt idx="5">
                  <c:v>0.91808119083885675</c:v>
                </c:pt>
                <c:pt idx="6">
                  <c:v>0.96448248288373717</c:v>
                </c:pt>
                <c:pt idx="7">
                  <c:v>0.9993914928517833</c:v>
                </c:pt>
                <c:pt idx="8">
                  <c:v>1.0255366251861038</c:v>
                </c:pt>
                <c:pt idx="9">
                  <c:v>1.0450124535244809</c:v>
                </c:pt>
                <c:pt idx="10">
                  <c:v>1.0595940952415046</c:v>
                </c:pt>
                <c:pt idx="11">
                  <c:v>1.0700256306546743</c:v>
                </c:pt>
                <c:pt idx="12">
                  <c:v>1.0774599145528692</c:v>
                </c:pt>
                <c:pt idx="13">
                  <c:v>1.0826210475729388</c:v>
                </c:pt>
                <c:pt idx="14">
                  <c:v>1.0861260291599706</c:v>
                </c:pt>
                <c:pt idx="15">
                  <c:v>1.0879271912777704</c:v>
                </c:pt>
                <c:pt idx="16">
                  <c:v>1.0884571054301331</c:v>
                </c:pt>
                <c:pt idx="17">
                  <c:v>1.0884974473520352</c:v>
                </c:pt>
                <c:pt idx="18">
                  <c:v>1.0877171196461854</c:v>
                </c:pt>
                <c:pt idx="19">
                  <c:v>1.0862642561786957</c:v>
                </c:pt>
                <c:pt idx="20">
                  <c:v>1.0842664472827401</c:v>
                </c:pt>
                <c:pt idx="21">
                  <c:v>1.0820767332695937</c:v>
                </c:pt>
                <c:pt idx="22">
                  <c:v>1.0797751094331587</c:v>
                </c:pt>
                <c:pt idx="23">
                  <c:v>1.0773377202572436</c:v>
                </c:pt>
                <c:pt idx="24">
                  <c:v>1.075016616851721</c:v>
                </c:pt>
                <c:pt idx="25">
                  <c:v>1.0727851939915021</c:v>
                </c:pt>
                <c:pt idx="26">
                  <c:v>1.0701727098691489</c:v>
                </c:pt>
                <c:pt idx="27">
                  <c:v>1.0672100950067072</c:v>
                </c:pt>
                <c:pt idx="28">
                  <c:v>1.0641997983537717</c:v>
                </c:pt>
                <c:pt idx="29">
                  <c:v>1.0613605503774275</c:v>
                </c:pt>
                <c:pt idx="30">
                  <c:v>1.0583163156643804</c:v>
                </c:pt>
                <c:pt idx="31">
                  <c:v>1.0555907274536727</c:v>
                </c:pt>
                <c:pt idx="32">
                  <c:v>1.0530194014283067</c:v>
                </c:pt>
                <c:pt idx="33">
                  <c:v>1.0505398584705437</c:v>
                </c:pt>
                <c:pt idx="34">
                  <c:v>1.0478697245832631</c:v>
                </c:pt>
                <c:pt idx="35">
                  <c:v>1.0449744962063834</c:v>
                </c:pt>
                <c:pt idx="36">
                  <c:v>1.0420221123875801</c:v>
                </c:pt>
                <c:pt idx="37">
                  <c:v>1.0391024267930622</c:v>
                </c:pt>
                <c:pt idx="38">
                  <c:v>1.0361083786780523</c:v>
                </c:pt>
                <c:pt idx="39">
                  <c:v>1.0331867599693054</c:v>
                </c:pt>
                <c:pt idx="40">
                  <c:v>1.0302179047631248</c:v>
                </c:pt>
                <c:pt idx="41">
                  <c:v>1.0273241204798615</c:v>
                </c:pt>
                <c:pt idx="42">
                  <c:v>1.0246189318438064</c:v>
                </c:pt>
                <c:pt idx="43">
                  <c:v>1.0215750824804815</c:v>
                </c:pt>
                <c:pt idx="44">
                  <c:v>1.0181923066192853</c:v>
                </c:pt>
                <c:pt idx="45">
                  <c:v>1.0149722140749613</c:v>
                </c:pt>
                <c:pt idx="46">
                  <c:v>1.0120789001181318</c:v>
                </c:pt>
                <c:pt idx="47">
                  <c:v>1.0093088590163564</c:v>
                </c:pt>
                <c:pt idx="48">
                  <c:v>1.0063529687517156</c:v>
                </c:pt>
                <c:pt idx="49">
                  <c:v>1.0032613270213213</c:v>
                </c:pt>
                <c:pt idx="50">
                  <c:v>1</c:v>
                </c:pt>
                <c:pt idx="51">
                  <c:v>0.99660114699589208</c:v>
                </c:pt>
                <c:pt idx="52">
                  <c:v>0.99330665252512473</c:v>
                </c:pt>
                <c:pt idx="53">
                  <c:v>0.99022783863822683</c:v>
                </c:pt>
                <c:pt idx="54">
                  <c:v>0.98721817388299427</c:v>
                </c:pt>
                <c:pt idx="55">
                  <c:v>0.98424725494113074</c:v>
                </c:pt>
                <c:pt idx="56">
                  <c:v>0.98113926168044174</c:v>
                </c:pt>
                <c:pt idx="57">
                  <c:v>0.97789350089756222</c:v>
                </c:pt>
                <c:pt idx="58">
                  <c:v>0.9747454967978848</c:v>
                </c:pt>
                <c:pt idx="59">
                  <c:v>0.97137384878727018</c:v>
                </c:pt>
                <c:pt idx="60">
                  <c:v>0.96821961614502994</c:v>
                </c:pt>
                <c:pt idx="61">
                  <c:v>0.96506434765102111</c:v>
                </c:pt>
                <c:pt idx="62">
                  <c:v>0.96187455950374423</c:v>
                </c:pt>
                <c:pt idx="63">
                  <c:v>0.95854666549584966</c:v>
                </c:pt>
                <c:pt idx="64">
                  <c:v>0.955390677539116</c:v>
                </c:pt>
                <c:pt idx="65">
                  <c:v>0.95245742147886003</c:v>
                </c:pt>
                <c:pt idx="66">
                  <c:v>0.94947988509357872</c:v>
                </c:pt>
                <c:pt idx="67">
                  <c:v>0.94628676680787849</c:v>
                </c:pt>
                <c:pt idx="68">
                  <c:v>0.94294497988291071</c:v>
                </c:pt>
                <c:pt idx="69">
                  <c:v>0.9395363423003088</c:v>
                </c:pt>
                <c:pt idx="70">
                  <c:v>0.93635628532607817</c:v>
                </c:pt>
                <c:pt idx="71">
                  <c:v>0.93319951368184195</c:v>
                </c:pt>
                <c:pt idx="72">
                  <c:v>0.92994365615685093</c:v>
                </c:pt>
                <c:pt idx="73">
                  <c:v>0.92663339241478115</c:v>
                </c:pt>
                <c:pt idx="74">
                  <c:v>0.92326349745481295</c:v>
                </c:pt>
                <c:pt idx="75">
                  <c:v>0.92015616152470259</c:v>
                </c:pt>
                <c:pt idx="76">
                  <c:v>0.91715903322241921</c:v>
                </c:pt>
                <c:pt idx="77">
                  <c:v>0.91393656753092223</c:v>
                </c:pt>
                <c:pt idx="78">
                  <c:v>0.9104844214240132</c:v>
                </c:pt>
                <c:pt idx="79">
                  <c:v>0.90726852163377458</c:v>
                </c:pt>
                <c:pt idx="80">
                  <c:v>0.90432688344526613</c:v>
                </c:pt>
                <c:pt idx="81">
                  <c:v>0.90112359078186555</c:v>
                </c:pt>
                <c:pt idx="82">
                  <c:v>0.89798084464935968</c:v>
                </c:pt>
                <c:pt idx="83">
                  <c:v>0.89478417348147321</c:v>
                </c:pt>
                <c:pt idx="84">
                  <c:v>0.89161208956822091</c:v>
                </c:pt>
                <c:pt idx="85">
                  <c:v>0.88821299291199673</c:v>
                </c:pt>
                <c:pt idx="86">
                  <c:v>0.88492156308384129</c:v>
                </c:pt>
                <c:pt idx="87">
                  <c:v>0.88158900508016547</c:v>
                </c:pt>
                <c:pt idx="88">
                  <c:v>0.87834037683979127</c:v>
                </c:pt>
                <c:pt idx="89">
                  <c:v>0.87509750618987081</c:v>
                </c:pt>
                <c:pt idx="90">
                  <c:v>0.87201246054536641</c:v>
                </c:pt>
                <c:pt idx="91">
                  <c:v>0.86881596526742455</c:v>
                </c:pt>
                <c:pt idx="92">
                  <c:v>0.86544592128352416</c:v>
                </c:pt>
                <c:pt idx="93">
                  <c:v>0.86223695131275579</c:v>
                </c:pt>
                <c:pt idx="94">
                  <c:v>0.85908317520143196</c:v>
                </c:pt>
                <c:pt idx="95">
                  <c:v>0.85598337389630919</c:v>
                </c:pt>
                <c:pt idx="96">
                  <c:v>0.85270711151646872</c:v>
                </c:pt>
                <c:pt idx="97">
                  <c:v>0.8495989845883839</c:v>
                </c:pt>
                <c:pt idx="98">
                  <c:v>0.84637799128225411</c:v>
                </c:pt>
                <c:pt idx="99">
                  <c:v>0.84315192649839465</c:v>
                </c:pt>
                <c:pt idx="100">
                  <c:v>0.84007998145082596</c:v>
                </c:pt>
                <c:pt idx="101">
                  <c:v>0.83699200074624514</c:v>
                </c:pt>
                <c:pt idx="102">
                  <c:v>0.8336816857241236</c:v>
                </c:pt>
                <c:pt idx="103">
                  <c:v>0.83049441907683053</c:v>
                </c:pt>
                <c:pt idx="104">
                  <c:v>0.82730674850506425</c:v>
                </c:pt>
                <c:pt idx="105">
                  <c:v>0.82422186846173062</c:v>
                </c:pt>
                <c:pt idx="106">
                  <c:v>0.82104215763842092</c:v>
                </c:pt>
                <c:pt idx="107">
                  <c:v>0.81804631254228954</c:v>
                </c:pt>
                <c:pt idx="108">
                  <c:v>0.81498158269634768</c:v>
                </c:pt>
                <c:pt idx="109">
                  <c:v>0.8117693888431865</c:v>
                </c:pt>
                <c:pt idx="110">
                  <c:v>0.80840900948452155</c:v>
                </c:pt>
                <c:pt idx="111">
                  <c:v>0.80528979234258113</c:v>
                </c:pt>
                <c:pt idx="112">
                  <c:v>0.8022203473212095</c:v>
                </c:pt>
                <c:pt idx="113">
                  <c:v>0.79926884100006323</c:v>
                </c:pt>
                <c:pt idx="114">
                  <c:v>0.79623840913424981</c:v>
                </c:pt>
                <c:pt idx="115">
                  <c:v>0.79312709948520888</c:v>
                </c:pt>
                <c:pt idx="116">
                  <c:v>0.7900641735588374</c:v>
                </c:pt>
                <c:pt idx="117">
                  <c:v>0.78699199290310307</c:v>
                </c:pt>
                <c:pt idx="118">
                  <c:v>0.7838369344522722</c:v>
                </c:pt>
                <c:pt idx="119">
                  <c:v>0.78057192042373758</c:v>
                </c:pt>
                <c:pt idx="120">
                  <c:v>0.77736470004760272</c:v>
                </c:pt>
                <c:pt idx="121">
                  <c:v>0.77436329447532448</c:v>
                </c:pt>
                <c:pt idx="122">
                  <c:v>0.77156518421605702</c:v>
                </c:pt>
                <c:pt idx="123">
                  <c:v>0.76873266234251769</c:v>
                </c:pt>
                <c:pt idx="124">
                  <c:v>0.76582705641556681</c:v>
                </c:pt>
                <c:pt idx="125">
                  <c:v>0.762760736989469</c:v>
                </c:pt>
                <c:pt idx="126">
                  <c:v>0.75932147318098986</c:v>
                </c:pt>
                <c:pt idx="127">
                  <c:v>0.75622246346781119</c:v>
                </c:pt>
                <c:pt idx="128">
                  <c:v>0.75335435136105666</c:v>
                </c:pt>
                <c:pt idx="129">
                  <c:v>0.75064973295453108</c:v>
                </c:pt>
                <c:pt idx="130">
                  <c:v>0.7474894505587083</c:v>
                </c:pt>
                <c:pt idx="131">
                  <c:v>0.74425494966197581</c:v>
                </c:pt>
                <c:pt idx="132">
                  <c:v>0.74110485772858414</c:v>
                </c:pt>
                <c:pt idx="133">
                  <c:v>0.73832363796014744</c:v>
                </c:pt>
                <c:pt idx="134">
                  <c:v>0.73560843850037638</c:v>
                </c:pt>
                <c:pt idx="135">
                  <c:v>0.73271560658026424</c:v>
                </c:pt>
                <c:pt idx="136">
                  <c:v>0.72959541200375033</c:v>
                </c:pt>
                <c:pt idx="137">
                  <c:v>0.72648950651758981</c:v>
                </c:pt>
                <c:pt idx="138">
                  <c:v>0.72350495682633376</c:v>
                </c:pt>
                <c:pt idx="139">
                  <c:v>0.7207258078282055</c:v>
                </c:pt>
                <c:pt idx="140">
                  <c:v>0.71790267672835839</c:v>
                </c:pt>
                <c:pt idx="141">
                  <c:v>0.71504447648707892</c:v>
                </c:pt>
                <c:pt idx="142">
                  <c:v>0.71217433984978418</c:v>
                </c:pt>
                <c:pt idx="143">
                  <c:v>0.70942980981193593</c:v>
                </c:pt>
                <c:pt idx="144">
                  <c:v>0.7064136136109479</c:v>
                </c:pt>
                <c:pt idx="145">
                  <c:v>0.70346925260703219</c:v>
                </c:pt>
                <c:pt idx="146">
                  <c:v>0.70068681457167492</c:v>
                </c:pt>
                <c:pt idx="147">
                  <c:v>0.69785383020004765</c:v>
                </c:pt>
                <c:pt idx="148">
                  <c:v>0.69500704803203894</c:v>
                </c:pt>
                <c:pt idx="149">
                  <c:v>0.69223656568084524</c:v>
                </c:pt>
                <c:pt idx="150">
                  <c:v>0.68941123519414671</c:v>
                </c:pt>
                <c:pt idx="151">
                  <c:v>0.68657115970551319</c:v>
                </c:pt>
                <c:pt idx="152">
                  <c:v>0.6838531103621287</c:v>
                </c:pt>
                <c:pt idx="153">
                  <c:v>0.68112256513220559</c:v>
                </c:pt>
                <c:pt idx="154">
                  <c:v>0.67824357458489404</c:v>
                </c:pt>
                <c:pt idx="155">
                  <c:v>0.67553954124021975</c:v>
                </c:pt>
                <c:pt idx="156">
                  <c:v>0.67296407514330692</c:v>
                </c:pt>
                <c:pt idx="157">
                  <c:v>0.67024106603174938</c:v>
                </c:pt>
                <c:pt idx="158">
                  <c:v>0.66716879851487809</c:v>
                </c:pt>
                <c:pt idx="159">
                  <c:v>0.66431133550889909</c:v>
                </c:pt>
                <c:pt idx="160">
                  <c:v>0.66176434314393573</c:v>
                </c:pt>
                <c:pt idx="161">
                  <c:v>0.65908151067228826</c:v>
                </c:pt>
                <c:pt idx="162">
                  <c:v>0.65635777819281649</c:v>
                </c:pt>
                <c:pt idx="163">
                  <c:v>0.6537977074582626</c:v>
                </c:pt>
                <c:pt idx="164">
                  <c:v>0.6513537029558697</c:v>
                </c:pt>
                <c:pt idx="165">
                  <c:v>0.64856924693843077</c:v>
                </c:pt>
                <c:pt idx="166">
                  <c:v>0.64568915623847634</c:v>
                </c:pt>
                <c:pt idx="167">
                  <c:v>0.64302256088405718</c:v>
                </c:pt>
                <c:pt idx="168">
                  <c:v>0.64048679878710013</c:v>
                </c:pt>
                <c:pt idx="169">
                  <c:v>0.63789891986211433</c:v>
                </c:pt>
                <c:pt idx="170">
                  <c:v>0.6353649330590021</c:v>
                </c:pt>
                <c:pt idx="171">
                  <c:v>0.63265013052818342</c:v>
                </c:pt>
                <c:pt idx="172">
                  <c:v>0.62973952175549086</c:v>
                </c:pt>
                <c:pt idx="173">
                  <c:v>0.62710608660240108</c:v>
                </c:pt>
                <c:pt idx="174">
                  <c:v>0.62460625092949718</c:v>
                </c:pt>
                <c:pt idx="175">
                  <c:v>0.62224073131420876</c:v>
                </c:pt>
                <c:pt idx="176">
                  <c:v>0.61971922879092534</c:v>
                </c:pt>
                <c:pt idx="177">
                  <c:v>0.61704099602686868</c:v>
                </c:pt>
                <c:pt idx="178">
                  <c:v>0.61438697559811994</c:v>
                </c:pt>
                <c:pt idx="179">
                  <c:v>0.61186676729372858</c:v>
                </c:pt>
                <c:pt idx="180">
                  <c:v>0.60929984143504001</c:v>
                </c:pt>
                <c:pt idx="181">
                  <c:v>0.60680002662504284</c:v>
                </c:pt>
                <c:pt idx="182">
                  <c:v>0.6041783701786374</c:v>
                </c:pt>
                <c:pt idx="183">
                  <c:v>0.60149942105275611</c:v>
                </c:pt>
                <c:pt idx="184">
                  <c:v>0.59906907406642029</c:v>
                </c:pt>
                <c:pt idx="185">
                  <c:v>0.59662717925623399</c:v>
                </c:pt>
                <c:pt idx="186">
                  <c:v>0.59422586835652835</c:v>
                </c:pt>
                <c:pt idx="187">
                  <c:v>0.59169956500258403</c:v>
                </c:pt>
                <c:pt idx="188">
                  <c:v>0.58931201737823069</c:v>
                </c:pt>
                <c:pt idx="189">
                  <c:v>0.58682758273575897</c:v>
                </c:pt>
                <c:pt idx="190">
                  <c:v>0.58448047195741848</c:v>
                </c:pt>
                <c:pt idx="191">
                  <c:v>0.5820926508144405</c:v>
                </c:pt>
                <c:pt idx="192">
                  <c:v>0.57957426444633553</c:v>
                </c:pt>
                <c:pt idx="193">
                  <c:v>0.57698698843504315</c:v>
                </c:pt>
                <c:pt idx="194">
                  <c:v>0.57466168674792784</c:v>
                </c:pt>
                <c:pt idx="195">
                  <c:v>0.57247873800045335</c:v>
                </c:pt>
                <c:pt idx="196">
                  <c:v>0.57004191114645553</c:v>
                </c:pt>
                <c:pt idx="197">
                  <c:v>0.56771880814970443</c:v>
                </c:pt>
                <c:pt idx="198">
                  <c:v>0.56516363209190024</c:v>
                </c:pt>
                <c:pt idx="199">
                  <c:v>0.56272118675780169</c:v>
                </c:pt>
                <c:pt idx="200">
                  <c:v>0.56049460561488995</c:v>
                </c:pt>
                <c:pt idx="201">
                  <c:v>0.55826063229392875</c:v>
                </c:pt>
                <c:pt idx="202">
                  <c:v>0.55583674202313671</c:v>
                </c:pt>
                <c:pt idx="203">
                  <c:v>0.55350419792912187</c:v>
                </c:pt>
                <c:pt idx="204">
                  <c:v>0.55113751753933415</c:v>
                </c:pt>
                <c:pt idx="205">
                  <c:v>0.54876095617681453</c:v>
                </c:pt>
                <c:pt idx="206">
                  <c:v>0.54637450092431716</c:v>
                </c:pt>
                <c:pt idx="207">
                  <c:v>0.54399996732851919</c:v>
                </c:pt>
                <c:pt idx="208">
                  <c:v>0.5416358712250724</c:v>
                </c:pt>
                <c:pt idx="209">
                  <c:v>0.53963753451871743</c:v>
                </c:pt>
                <c:pt idx="210">
                  <c:v>0.5377459483170528</c:v>
                </c:pt>
                <c:pt idx="211">
                  <c:v>0.53560157459141489</c:v>
                </c:pt>
                <c:pt idx="212">
                  <c:v>0.53319846003213245</c:v>
                </c:pt>
                <c:pt idx="213">
                  <c:v>0.53090032844651447</c:v>
                </c:pt>
                <c:pt idx="214">
                  <c:v>0.52884745116976739</c:v>
                </c:pt>
                <c:pt idx="215">
                  <c:v>0.52678905749742566</c:v>
                </c:pt>
                <c:pt idx="216">
                  <c:v>0.52446641109394687</c:v>
                </c:pt>
                <c:pt idx="217">
                  <c:v>0.52199543443084662</c:v>
                </c:pt>
                <c:pt idx="218">
                  <c:v>0.51982532071685517</c:v>
                </c:pt>
                <c:pt idx="219">
                  <c:v>0.5177854807444382</c:v>
                </c:pt>
                <c:pt idx="220">
                  <c:v>0.51545496083430531</c:v>
                </c:pt>
                <c:pt idx="221">
                  <c:v>0.513224910348555</c:v>
                </c:pt>
                <c:pt idx="222">
                  <c:v>0.51128632500888049</c:v>
                </c:pt>
                <c:pt idx="223">
                  <c:v>0.50919834369342065</c:v>
                </c:pt>
                <c:pt idx="224">
                  <c:v>0.50694530829930373</c:v>
                </c:pt>
                <c:pt idx="225">
                  <c:v>0.50482902174258903</c:v>
                </c:pt>
                <c:pt idx="226">
                  <c:v>0.502572905999495</c:v>
                </c:pt>
                <c:pt idx="227">
                  <c:v>0.50033138894531348</c:v>
                </c:pt>
                <c:pt idx="228">
                  <c:v>0.49837296558349142</c:v>
                </c:pt>
                <c:pt idx="229">
                  <c:v>0.49623681374651213</c:v>
                </c:pt>
                <c:pt idx="230">
                  <c:v>0.49425202223155146</c:v>
                </c:pt>
                <c:pt idx="231">
                  <c:v>0.49226992636054512</c:v>
                </c:pt>
                <c:pt idx="232">
                  <c:v>0.49012947757226188</c:v>
                </c:pt>
                <c:pt idx="233">
                  <c:v>0.48811265287251243</c:v>
                </c:pt>
                <c:pt idx="234">
                  <c:v>0.4857945421695648</c:v>
                </c:pt>
                <c:pt idx="235">
                  <c:v>0.48363425108931934</c:v>
                </c:pt>
                <c:pt idx="236">
                  <c:v>0.48161644796046771</c:v>
                </c:pt>
                <c:pt idx="237">
                  <c:v>0.47973667025061612</c:v>
                </c:pt>
                <c:pt idx="238">
                  <c:v>0.47785020568537789</c:v>
                </c:pt>
                <c:pt idx="239">
                  <c:v>0.47595131851271133</c:v>
                </c:pt>
                <c:pt idx="240">
                  <c:v>0.47390083514881048</c:v>
                </c:pt>
                <c:pt idx="241">
                  <c:v>0.47199818496200119</c:v>
                </c:pt>
                <c:pt idx="242">
                  <c:v>0.47024568310395792</c:v>
                </c:pt>
                <c:pt idx="243">
                  <c:v>0.46848697149370755</c:v>
                </c:pt>
                <c:pt idx="244">
                  <c:v>0.46656258590802502</c:v>
                </c:pt>
                <c:pt idx="245">
                  <c:v>0.46462780273373522</c:v>
                </c:pt>
                <c:pt idx="246">
                  <c:v>0.46268208234657954</c:v>
                </c:pt>
                <c:pt idx="247">
                  <c:v>0.46073641239608176</c:v>
                </c:pt>
                <c:pt idx="248">
                  <c:v>0.45894866143131374</c:v>
                </c:pt>
                <c:pt idx="249">
                  <c:v>0.45698762698477879</c:v>
                </c:pt>
                <c:pt idx="250">
                  <c:v>0.45501666424666465</c:v>
                </c:pt>
                <c:pt idx="251">
                  <c:v>0.45303470381148508</c:v>
                </c:pt>
                <c:pt idx="252">
                  <c:v>0.45088446379364228</c:v>
                </c:pt>
                <c:pt idx="253">
                  <c:v>0.44921538484616175</c:v>
                </c:pt>
                <c:pt idx="254">
                  <c:v>0.44753317419456012</c:v>
                </c:pt>
                <c:pt idx="255">
                  <c:v>0.44568502270334637</c:v>
                </c:pt>
                <c:pt idx="256">
                  <c:v>0.44350445539995725</c:v>
                </c:pt>
                <c:pt idx="257">
                  <c:v>0.44149097379688546</c:v>
                </c:pt>
                <c:pt idx="258">
                  <c:v>0.43946540452085775</c:v>
                </c:pt>
                <c:pt idx="259">
                  <c:v>0.43760055814901716</c:v>
                </c:pt>
                <c:pt idx="260">
                  <c:v>0.43587603546999082</c:v>
                </c:pt>
                <c:pt idx="261">
                  <c:v>0.43415417107409227</c:v>
                </c:pt>
                <c:pt idx="262">
                  <c:v>0.43241270976492335</c:v>
                </c:pt>
                <c:pt idx="263">
                  <c:v>0.43035476716633342</c:v>
                </c:pt>
                <c:pt idx="264">
                  <c:v>0.42830590255388845</c:v>
                </c:pt>
                <c:pt idx="265">
                  <c:v>0.42655760152756772</c:v>
                </c:pt>
                <c:pt idx="266">
                  <c:v>0.4246511056939386</c:v>
                </c:pt>
                <c:pt idx="267">
                  <c:v>0.42288980425927408</c:v>
                </c:pt>
                <c:pt idx="268">
                  <c:v>0.42112158341214234</c:v>
                </c:pt>
                <c:pt idx="269">
                  <c:v>0.41949527453657592</c:v>
                </c:pt>
                <c:pt idx="270">
                  <c:v>0.4180297477660615</c:v>
                </c:pt>
                <c:pt idx="271">
                  <c:v>0.4163865361771909</c:v>
                </c:pt>
                <c:pt idx="272">
                  <c:v>0.41461185486408336</c:v>
                </c:pt>
                <c:pt idx="273">
                  <c:v>0.4128077866057222</c:v>
                </c:pt>
                <c:pt idx="274">
                  <c:v>0.41102242933055433</c:v>
                </c:pt>
                <c:pt idx="275">
                  <c:v>0.40920549676076151</c:v>
                </c:pt>
                <c:pt idx="276">
                  <c:v>0.40738157558714166</c:v>
                </c:pt>
                <c:pt idx="277">
                  <c:v>0.40572185872885558</c:v>
                </c:pt>
                <c:pt idx="278">
                  <c:v>0.40391425472891229</c:v>
                </c:pt>
                <c:pt idx="279">
                  <c:v>0.40227356060807096</c:v>
                </c:pt>
                <c:pt idx="280">
                  <c:v>0.40073606310655496</c:v>
                </c:pt>
                <c:pt idx="281">
                  <c:v>0.39905148898238063</c:v>
                </c:pt>
                <c:pt idx="282">
                  <c:v>0.39739486099744481</c:v>
                </c:pt>
                <c:pt idx="283">
                  <c:v>0.39556113534548332</c:v>
                </c:pt>
                <c:pt idx="284">
                  <c:v>0.39368590507485773</c:v>
                </c:pt>
                <c:pt idx="285">
                  <c:v>0.39184138456584633</c:v>
                </c:pt>
                <c:pt idx="286">
                  <c:v>0.39020447626546384</c:v>
                </c:pt>
                <c:pt idx="287">
                  <c:v>0.3886593415504549</c:v>
                </c:pt>
                <c:pt idx="288">
                  <c:v>0.38710819142975617</c:v>
                </c:pt>
                <c:pt idx="289">
                  <c:v>0.3854188469286699</c:v>
                </c:pt>
                <c:pt idx="290">
                  <c:v>0.38381316489788592</c:v>
                </c:pt>
                <c:pt idx="291">
                  <c:v>0.38232968733339046</c:v>
                </c:pt>
                <c:pt idx="292">
                  <c:v>0.38070660381122268</c:v>
                </c:pt>
                <c:pt idx="293">
                  <c:v>0.37912190739002521</c:v>
                </c:pt>
                <c:pt idx="294">
                  <c:v>0.37757895012161463</c:v>
                </c:pt>
                <c:pt idx="295">
                  <c:v>0.37611030106999876</c:v>
                </c:pt>
                <c:pt idx="296">
                  <c:v>0.37438145447396354</c:v>
                </c:pt>
                <c:pt idx="297">
                  <c:v>0.37264823850633305</c:v>
                </c:pt>
                <c:pt idx="298">
                  <c:v>0.37115962044266892</c:v>
                </c:pt>
                <c:pt idx="299">
                  <c:v>0.36953955821749362</c:v>
                </c:pt>
                <c:pt idx="300">
                  <c:v>0.36796795549743588</c:v>
                </c:pt>
                <c:pt idx="301">
                  <c:v>0.36645870298812877</c:v>
                </c:pt>
                <c:pt idx="302">
                  <c:v>0.36499843331950166</c:v>
                </c:pt>
                <c:pt idx="303">
                  <c:v>0.36347460431125056</c:v>
                </c:pt>
                <c:pt idx="304">
                  <c:v>0.36188271353782614</c:v>
                </c:pt>
                <c:pt idx="305">
                  <c:v>0.36046563064203163</c:v>
                </c:pt>
                <c:pt idx="306">
                  <c:v>0.35886627604925392</c:v>
                </c:pt>
                <c:pt idx="307">
                  <c:v>0.35749641795149784</c:v>
                </c:pt>
                <c:pt idx="308">
                  <c:v>0.35606705589682203</c:v>
                </c:pt>
                <c:pt idx="309">
                  <c:v>0.35456953674163205</c:v>
                </c:pt>
                <c:pt idx="310">
                  <c:v>0.3531323510434316</c:v>
                </c:pt>
                <c:pt idx="311">
                  <c:v>0.35162470642024923</c:v>
                </c:pt>
                <c:pt idx="312">
                  <c:v>0.34999911683214002</c:v>
                </c:pt>
                <c:pt idx="313">
                  <c:v>0.3484810551530475</c:v>
                </c:pt>
                <c:pt idx="314">
                  <c:v>0.34713844481409972</c:v>
                </c:pt>
                <c:pt idx="315">
                  <c:v>0.34568106163132234</c:v>
                </c:pt>
                <c:pt idx="316">
                  <c:v>0.34414743567783596</c:v>
                </c:pt>
                <c:pt idx="317">
                  <c:v>0.34260813368016058</c:v>
                </c:pt>
                <c:pt idx="318">
                  <c:v>0.34117014022619391</c:v>
                </c:pt>
                <c:pt idx="319">
                  <c:v>0.33972467801867506</c:v>
                </c:pt>
                <c:pt idx="320">
                  <c:v>0.33824405682491726</c:v>
                </c:pt>
                <c:pt idx="321">
                  <c:v>0.33676006057007418</c:v>
                </c:pt>
                <c:pt idx="322">
                  <c:v>0.33537611162657188</c:v>
                </c:pt>
                <c:pt idx="323">
                  <c:v>0.33406802556259019</c:v>
                </c:pt>
                <c:pt idx="324">
                  <c:v>0.33285873657039555</c:v>
                </c:pt>
                <c:pt idx="325">
                  <c:v>0.33146070665138766</c:v>
                </c:pt>
                <c:pt idx="326">
                  <c:v>0.33015732518749513</c:v>
                </c:pt>
                <c:pt idx="327">
                  <c:v>0.32891946226631003</c:v>
                </c:pt>
                <c:pt idx="328">
                  <c:v>0.32759420708836828</c:v>
                </c:pt>
                <c:pt idx="329">
                  <c:v>0.32616897927972044</c:v>
                </c:pt>
                <c:pt idx="330">
                  <c:v>0.32493515857877903</c:v>
                </c:pt>
                <c:pt idx="331">
                  <c:v>0.32360136279820972</c:v>
                </c:pt>
                <c:pt idx="332">
                  <c:v>0.32217587874964493</c:v>
                </c:pt>
                <c:pt idx="333">
                  <c:v>0.32064748828753298</c:v>
                </c:pt>
                <c:pt idx="334">
                  <c:v>0.31920548965279216</c:v>
                </c:pt>
                <c:pt idx="335">
                  <c:v>0.31775825385045758</c:v>
                </c:pt>
                <c:pt idx="336">
                  <c:v>0.31639653479593655</c:v>
                </c:pt>
                <c:pt idx="337">
                  <c:v>0.31503545458876969</c:v>
                </c:pt>
                <c:pt idx="338">
                  <c:v>0.31376043155959604</c:v>
                </c:pt>
                <c:pt idx="339">
                  <c:v>0.31248070019308966</c:v>
                </c:pt>
                <c:pt idx="340">
                  <c:v>0.31119625499455184</c:v>
                </c:pt>
                <c:pt idx="341">
                  <c:v>0.3099070904692845</c:v>
                </c:pt>
                <c:pt idx="342">
                  <c:v>0.30871674591860138</c:v>
                </c:pt>
                <c:pt idx="343">
                  <c:v>0.30741932739446493</c:v>
                </c:pt>
                <c:pt idx="344">
                  <c:v>0.30630652146889487</c:v>
                </c:pt>
                <c:pt idx="345">
                  <c:v>0.30499990682711126</c:v>
                </c:pt>
                <c:pt idx="346">
                  <c:v>0.3036885472155329</c:v>
                </c:pt>
                <c:pt idx="347">
                  <c:v>0.30256261776704052</c:v>
                </c:pt>
                <c:pt idx="348">
                  <c:v>0.30124203008716083</c:v>
                </c:pt>
                <c:pt idx="349">
                  <c:v>0.30002866808902939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99488"/>
        <c:axId val="98018048"/>
      </c:scatterChart>
      <c:valAx>
        <c:axId val="97999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8018048"/>
        <c:crosses val="autoZero"/>
        <c:crossBetween val="midCat"/>
      </c:valAx>
      <c:valAx>
        <c:axId val="98018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TPR</a:t>
                </a:r>
              </a:p>
            </c:rich>
          </c:tx>
          <c:layout/>
          <c:overlay val="0"/>
        </c:title>
        <c:numFmt formatCode="0.000" sourceLinked="1"/>
        <c:majorTickMark val="out"/>
        <c:minorTickMark val="none"/>
        <c:tickLblPos val="nextTo"/>
        <c:crossAx val="9799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266699</xdr:colOff>
      <xdr:row>2</xdr:row>
      <xdr:rowOff>76199</xdr:rowOff>
    </xdr:from>
    <xdr:to>
      <xdr:col>26</xdr:col>
      <xdr:colOff>466724</xdr:colOff>
      <xdr:row>29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85725</xdr:colOff>
      <xdr:row>27</xdr:row>
      <xdr:rowOff>42862</xdr:rowOff>
    </xdr:from>
    <xdr:to>
      <xdr:col>22</xdr:col>
      <xdr:colOff>390525</xdr:colOff>
      <xdr:row>41</xdr:row>
      <xdr:rowOff>157162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504825</xdr:colOff>
      <xdr:row>5</xdr:row>
      <xdr:rowOff>185736</xdr:rowOff>
    </xdr:from>
    <xdr:to>
      <xdr:col>31</xdr:col>
      <xdr:colOff>600075</xdr:colOff>
      <xdr:row>29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261937</xdr:colOff>
      <xdr:row>0</xdr:row>
      <xdr:rowOff>146446</xdr:rowOff>
    </xdr:from>
    <xdr:to>
      <xdr:col>33</xdr:col>
      <xdr:colOff>583406</xdr:colOff>
      <xdr:row>18</xdr:row>
      <xdr:rowOff>79771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202407</xdr:colOff>
      <xdr:row>25</xdr:row>
      <xdr:rowOff>71438</xdr:rowOff>
    </xdr:from>
    <xdr:to>
      <xdr:col>10</xdr:col>
      <xdr:colOff>629806</xdr:colOff>
      <xdr:row>31</xdr:row>
      <xdr:rowOff>147486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2407" y="4810126"/>
          <a:ext cx="9809524" cy="12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547687</xdr:colOff>
      <xdr:row>35</xdr:row>
      <xdr:rowOff>154781</xdr:rowOff>
    </xdr:from>
    <xdr:to>
      <xdr:col>5</xdr:col>
      <xdr:colOff>1118634</xdr:colOff>
      <xdr:row>44</xdr:row>
      <xdr:rowOff>125995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7687" y="6798469"/>
          <a:ext cx="4428572" cy="1685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80962</xdr:rowOff>
    </xdr:from>
    <xdr:to>
      <xdr:col>27</xdr:col>
      <xdr:colOff>304800</xdr:colOff>
      <xdr:row>14</xdr:row>
      <xdr:rowOff>157162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8</xdr:row>
      <xdr:rowOff>90487</xdr:rowOff>
    </xdr:from>
    <xdr:to>
      <xdr:col>23</xdr:col>
      <xdr:colOff>295275</xdr:colOff>
      <xdr:row>22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266700</xdr:colOff>
      <xdr:row>4</xdr:row>
      <xdr:rowOff>33337</xdr:rowOff>
    </xdr:from>
    <xdr:to>
      <xdr:col>23</xdr:col>
      <xdr:colOff>152400</xdr:colOff>
      <xdr:row>18</xdr:row>
      <xdr:rowOff>109537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6X%20Av%20%25DD%20TP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X PDDs Av."/>
      <sheetName val="A corr."/>
      <sheetName val="%DD corr."/>
      <sheetName val="NPSF corr."/>
      <sheetName val="MRJ TPRs"/>
      <sheetName val="Omnipro TPRs"/>
      <sheetName val="Vs. Omnipro"/>
      <sheetName val="Vs. Meas"/>
      <sheetName val="6X Publish"/>
    </sheetNames>
    <sheetDataSet>
      <sheetData sheetId="0"/>
      <sheetData sheetId="1">
        <row r="2">
          <cell r="L2">
            <v>100</v>
          </cell>
        </row>
        <row r="3">
          <cell r="L3">
            <v>5</v>
          </cell>
        </row>
      </sheetData>
      <sheetData sheetId="2">
        <row r="21">
          <cell r="C21">
            <v>99.960414201183426</v>
          </cell>
          <cell r="D21">
            <v>99.941104536489149</v>
          </cell>
          <cell r="E21">
            <v>99.958619329388554</v>
          </cell>
          <cell r="F21">
            <v>99.978343195266277</v>
          </cell>
          <cell r="G21">
            <v>99.98</v>
          </cell>
          <cell r="H21">
            <v>99.988895463510843</v>
          </cell>
          <cell r="I21">
            <v>99.99</v>
          </cell>
          <cell r="J21">
            <v>99.99</v>
          </cell>
          <cell r="K21">
            <v>99.999171597633136</v>
          </cell>
          <cell r="L21">
            <v>99.990966469428002</v>
          </cell>
          <cell r="M21">
            <v>99.98</v>
          </cell>
          <cell r="N21">
            <v>99.97124260355028</v>
          </cell>
          <cell r="O21">
            <v>99.97</v>
          </cell>
          <cell r="P21">
            <v>99.942071005917157</v>
          </cell>
          <cell r="Q21">
            <v>99.912485207100588</v>
          </cell>
          <cell r="R21">
            <v>99.900966469428013</v>
          </cell>
          <cell r="S21">
            <v>99.882209072978299</v>
          </cell>
        </row>
        <row r="27">
          <cell r="C27">
            <v>98.596470588235292</v>
          </cell>
          <cell r="D27">
            <v>98.463333333333324</v>
          </cell>
          <cell r="E27">
            <v>98.576274509803937</v>
          </cell>
          <cell r="F27">
            <v>98.634117647058844</v>
          </cell>
          <cell r="G27">
            <v>98.709019607843146</v>
          </cell>
          <cell r="H27">
            <v>98.635686274509808</v>
          </cell>
          <cell r="I27">
            <v>98.644705882352952</v>
          </cell>
          <cell r="J27">
            <v>98.66607843137254</v>
          </cell>
          <cell r="K27">
            <v>98.643529411764703</v>
          </cell>
          <cell r="L27">
            <v>98.614117647058819</v>
          </cell>
          <cell r="M27">
            <v>98.579411764705881</v>
          </cell>
          <cell r="N27">
            <v>98.528823529411767</v>
          </cell>
          <cell r="O27">
            <v>98.479803921568632</v>
          </cell>
          <cell r="P27">
            <v>98.406862745098039</v>
          </cell>
          <cell r="Q27">
            <v>98.391176470588249</v>
          </cell>
          <cell r="R27">
            <v>98.424509803921566</v>
          </cell>
          <cell r="S27">
            <v>98.472156862745123</v>
          </cell>
        </row>
        <row r="37">
          <cell r="C37">
            <v>93.221941747572814</v>
          </cell>
          <cell r="D37">
            <v>93.543883495145636</v>
          </cell>
          <cell r="E37">
            <v>93.793592233009704</v>
          </cell>
          <cell r="F37">
            <v>94.118834951456321</v>
          </cell>
          <cell r="G37">
            <v>94.299417475728148</v>
          </cell>
          <cell r="H37">
            <v>94.391359223300967</v>
          </cell>
          <cell r="I37">
            <v>94.439514563106798</v>
          </cell>
          <cell r="J37">
            <v>94.471262135922331</v>
          </cell>
          <cell r="K37">
            <v>94.636796116504854</v>
          </cell>
          <cell r="L37">
            <v>94.765533980582532</v>
          </cell>
          <cell r="M37">
            <v>94.85</v>
          </cell>
          <cell r="N37">
            <v>94.842621359223301</v>
          </cell>
          <cell r="O37">
            <v>94.84</v>
          </cell>
          <cell r="P37">
            <v>94.822912621359222</v>
          </cell>
          <cell r="Q37">
            <v>94.968543689320384</v>
          </cell>
          <cell r="R37">
            <v>95.063689320388349</v>
          </cell>
          <cell r="S37">
            <v>95.133689320388356</v>
          </cell>
        </row>
        <row r="47">
          <cell r="C47">
            <v>87.883461538461546</v>
          </cell>
          <cell r="D47">
            <v>88.465384615384622</v>
          </cell>
          <cell r="E47">
            <v>88.970000000000013</v>
          </cell>
          <cell r="F47">
            <v>89.393076923076933</v>
          </cell>
          <cell r="G47">
            <v>89.716538461538462</v>
          </cell>
          <cell r="H47">
            <v>89.883076923076928</v>
          </cell>
          <cell r="I47">
            <v>90.044230769230765</v>
          </cell>
          <cell r="J47">
            <v>90.226923076923072</v>
          </cell>
          <cell r="K47">
            <v>90.538461538461533</v>
          </cell>
          <cell r="L47">
            <v>90.785384615384601</v>
          </cell>
          <cell r="M47">
            <v>90.977692307692294</v>
          </cell>
          <cell r="N47">
            <v>91.02269230769231</v>
          </cell>
          <cell r="O47">
            <v>91.064615384615379</v>
          </cell>
          <cell r="P47">
            <v>91.209230769230771</v>
          </cell>
          <cell r="Q47">
            <v>91.401538461538465</v>
          </cell>
          <cell r="R47">
            <v>91.559615384615398</v>
          </cell>
          <cell r="S47">
            <v>91.703846153846158</v>
          </cell>
        </row>
        <row r="57">
          <cell r="C57">
            <v>82.544285714285692</v>
          </cell>
          <cell r="D57">
            <v>83.34333333333332</v>
          </cell>
          <cell r="E57">
            <v>84.023333333333341</v>
          </cell>
          <cell r="F57">
            <v>84.64</v>
          </cell>
          <cell r="G57">
            <v>85.11999999999999</v>
          </cell>
          <cell r="H57">
            <v>85.437142857142859</v>
          </cell>
          <cell r="I57">
            <v>85.694285714285726</v>
          </cell>
          <cell r="J57">
            <v>85.94619047619048</v>
          </cell>
          <cell r="K57">
            <v>86.391428571428548</v>
          </cell>
          <cell r="L57">
            <v>86.759999999999977</v>
          </cell>
          <cell r="M57">
            <v>87.064285714285717</v>
          </cell>
          <cell r="N57">
            <v>87.184285714285707</v>
          </cell>
          <cell r="O57">
            <v>87.308095238095234</v>
          </cell>
          <cell r="P57">
            <v>87.568095238095239</v>
          </cell>
          <cell r="Q57">
            <v>87.865714285714262</v>
          </cell>
          <cell r="R57">
            <v>88.093333333333348</v>
          </cell>
          <cell r="S57">
            <v>88.283809523809509</v>
          </cell>
        </row>
        <row r="67">
          <cell r="C67">
            <v>77.465471698113205</v>
          </cell>
          <cell r="D67">
            <v>78.45264150943396</v>
          </cell>
          <cell r="E67">
            <v>79.286603773584886</v>
          </cell>
          <cell r="F67">
            <v>80.012075471698125</v>
          </cell>
          <cell r="G67">
            <v>80.616226415094346</v>
          </cell>
          <cell r="H67">
            <v>81.025094339622626</v>
          </cell>
          <cell r="I67">
            <v>81.341698113207542</v>
          </cell>
          <cell r="J67">
            <v>81.671886792452824</v>
          </cell>
          <cell r="K67">
            <v>82.259622641509424</v>
          </cell>
          <cell r="L67">
            <v>82.713584905660355</v>
          </cell>
          <cell r="M67">
            <v>83.101320754716994</v>
          </cell>
          <cell r="N67">
            <v>83.317924528301873</v>
          </cell>
          <cell r="O67">
            <v>83.529811320754717</v>
          </cell>
          <cell r="P67">
            <v>83.93245283018868</v>
          </cell>
          <cell r="Q67">
            <v>84.297547169811324</v>
          </cell>
          <cell r="R67">
            <v>84.593018867924528</v>
          </cell>
          <cell r="S67">
            <v>84.842264150943393</v>
          </cell>
        </row>
        <row r="77">
          <cell r="C77">
            <v>72.67168224299067</v>
          </cell>
          <cell r="D77">
            <v>73.811682242990642</v>
          </cell>
          <cell r="E77">
            <v>74.755981308411222</v>
          </cell>
          <cell r="F77">
            <v>75.519532710280373</v>
          </cell>
          <cell r="G77">
            <v>76.200280373831774</v>
          </cell>
          <cell r="H77">
            <v>76.739719626168224</v>
          </cell>
          <cell r="I77">
            <v>77.142710280373834</v>
          </cell>
          <cell r="J77">
            <v>77.535233644859815</v>
          </cell>
          <cell r="K77">
            <v>78.235233644859804</v>
          </cell>
          <cell r="L77">
            <v>78.791869158878526</v>
          </cell>
          <cell r="M77">
            <v>79.268317757009342</v>
          </cell>
          <cell r="N77">
            <v>79.549252336448603</v>
          </cell>
          <cell r="O77">
            <v>79.820280373831793</v>
          </cell>
          <cell r="P77">
            <v>80.332990654205602</v>
          </cell>
          <cell r="Q77">
            <v>80.793738317757004</v>
          </cell>
          <cell r="R77">
            <v>81.158037383177572</v>
          </cell>
          <cell r="S77">
            <v>81.447757009345793</v>
          </cell>
        </row>
        <row r="87">
          <cell r="C87">
            <v>68.12</v>
          </cell>
          <cell r="D87">
            <v>69.324444444444453</v>
          </cell>
          <cell r="E87">
            <v>70.328518518518521</v>
          </cell>
          <cell r="F87">
            <v>71.204444444444434</v>
          </cell>
          <cell r="G87">
            <v>71.965925925925916</v>
          </cell>
          <cell r="H87">
            <v>72.592222222222219</v>
          </cell>
          <cell r="I87">
            <v>73.086666666666673</v>
          </cell>
          <cell r="J87">
            <v>73.521851851851864</v>
          </cell>
          <cell r="K87">
            <v>74.325555555555553</v>
          </cell>
          <cell r="L87">
            <v>74.978888888888889</v>
          </cell>
          <cell r="M87">
            <v>75.534444444444432</v>
          </cell>
          <cell r="N87">
            <v>75.889999999999986</v>
          </cell>
          <cell r="O87">
            <v>76.223333333333343</v>
          </cell>
          <cell r="P87">
            <v>76.848888888888908</v>
          </cell>
          <cell r="Q87">
            <v>77.354444444444454</v>
          </cell>
          <cell r="R87">
            <v>77.777777777777786</v>
          </cell>
          <cell r="S87">
            <v>78.1388888888889</v>
          </cell>
        </row>
        <row r="97">
          <cell r="C97">
            <v>63.931559633027518</v>
          </cell>
          <cell r="D97">
            <v>65.133486238532114</v>
          </cell>
          <cell r="E97">
            <v>66.108899082568811</v>
          </cell>
          <cell r="F97">
            <v>67.039633027522939</v>
          </cell>
          <cell r="G97">
            <v>67.894495412844051</v>
          </cell>
          <cell r="H97">
            <v>68.576880733944932</v>
          </cell>
          <cell r="I97">
            <v>69.103853211009167</v>
          </cell>
          <cell r="J97">
            <v>69.617614678899074</v>
          </cell>
          <cell r="K97">
            <v>70.53412844036697</v>
          </cell>
          <cell r="L97">
            <v>71.262752293577975</v>
          </cell>
          <cell r="M97">
            <v>71.880825688073401</v>
          </cell>
          <cell r="N97">
            <v>72.292752293577976</v>
          </cell>
          <cell r="O97">
            <v>72.659724770642185</v>
          </cell>
          <cell r="P97">
            <v>73.418623853210988</v>
          </cell>
          <cell r="Q97">
            <v>74.037889908256872</v>
          </cell>
          <cell r="R97">
            <v>74.531467889908257</v>
          </cell>
          <cell r="S97">
            <v>74.929357798165142</v>
          </cell>
        </row>
        <row r="107">
          <cell r="C107">
            <v>59.951818181818183</v>
          </cell>
          <cell r="D107">
            <v>61.197272727272718</v>
          </cell>
          <cell r="E107">
            <v>62.186363636363637</v>
          </cell>
          <cell r="F107">
            <v>63.11363636363636</v>
          </cell>
          <cell r="G107">
            <v>64.008181818181811</v>
          </cell>
          <cell r="H107">
            <v>64.763636363636365</v>
          </cell>
          <cell r="I107">
            <v>65.310909090909092</v>
          </cell>
          <cell r="J107">
            <v>65.866363636363644</v>
          </cell>
          <cell r="K107">
            <v>66.857272727272729</v>
          </cell>
          <cell r="L107">
            <v>67.63545454545455</v>
          </cell>
          <cell r="M107">
            <v>68.301818181818177</v>
          </cell>
          <cell r="N107">
            <v>68.783636363636376</v>
          </cell>
          <cell r="O107">
            <v>69.201818181818183</v>
          </cell>
          <cell r="P107">
            <v>70.078181818181818</v>
          </cell>
          <cell r="Q107">
            <v>70.778181818181807</v>
          </cell>
          <cell r="R107">
            <v>71.330909090909088</v>
          </cell>
          <cell r="S107">
            <v>71.758181818181811</v>
          </cell>
        </row>
        <row r="117">
          <cell r="C117">
            <v>56.204864864864867</v>
          </cell>
          <cell r="D117">
            <v>57.440180180180178</v>
          </cell>
          <cell r="E117">
            <v>58.470090090090096</v>
          </cell>
          <cell r="F117">
            <v>59.435405405405405</v>
          </cell>
          <cell r="G117">
            <v>60.317927927927926</v>
          </cell>
          <cell r="H117">
            <v>61.100540540540536</v>
          </cell>
          <cell r="I117">
            <v>61.671351351351355</v>
          </cell>
          <cell r="J117">
            <v>62.265945945945944</v>
          </cell>
          <cell r="K117">
            <v>63.321351351351353</v>
          </cell>
          <cell r="L117">
            <v>64.164234234234229</v>
          </cell>
          <cell r="M117">
            <v>64.909909909909899</v>
          </cell>
          <cell r="N117">
            <v>65.454054054054055</v>
          </cell>
          <cell r="O117">
            <v>65.904504504504516</v>
          </cell>
          <cell r="P117">
            <v>66.8691891891892</v>
          </cell>
          <cell r="Q117">
            <v>67.601621621621618</v>
          </cell>
          <cell r="R117">
            <v>68.162342342342342</v>
          </cell>
          <cell r="S117">
            <v>68.63981981981982</v>
          </cell>
        </row>
        <row r="127">
          <cell r="C127">
            <v>52.707500000000003</v>
          </cell>
          <cell r="D127">
            <v>53.944285714285719</v>
          </cell>
          <cell r="E127">
            <v>54.946785714285717</v>
          </cell>
          <cell r="F127">
            <v>55.880714285714291</v>
          </cell>
          <cell r="G127">
            <v>56.777500000000003</v>
          </cell>
          <cell r="H127">
            <v>57.612857142857145</v>
          </cell>
          <cell r="I127">
            <v>58.195357142857148</v>
          </cell>
          <cell r="J127">
            <v>58.829285714285717</v>
          </cell>
          <cell r="K127">
            <v>59.955000000000005</v>
          </cell>
          <cell r="L127">
            <v>60.842500000000001</v>
          </cell>
          <cell r="M127">
            <v>61.602857142857133</v>
          </cell>
          <cell r="N127">
            <v>62.2</v>
          </cell>
          <cell r="O127">
            <v>62.7</v>
          </cell>
          <cell r="P127">
            <v>63.754999999999995</v>
          </cell>
          <cell r="Q127">
            <v>64.551428571428573</v>
          </cell>
          <cell r="R127">
            <v>65.182500000000005</v>
          </cell>
          <cell r="S127">
            <v>65.69</v>
          </cell>
        </row>
        <row r="137">
          <cell r="C137">
            <v>49.406371681415933</v>
          </cell>
          <cell r="D137">
            <v>50.626194690265486</v>
          </cell>
          <cell r="E137">
            <v>51.614513274336282</v>
          </cell>
          <cell r="F137">
            <v>52.57380530973451</v>
          </cell>
          <cell r="G137">
            <v>53.517168141592926</v>
          </cell>
          <cell r="H137">
            <v>54.30893805309735</v>
          </cell>
          <cell r="I137">
            <v>54.963805309734525</v>
          </cell>
          <cell r="J137">
            <v>55.584690265486735</v>
          </cell>
          <cell r="K137">
            <v>56.714513274336284</v>
          </cell>
          <cell r="L137">
            <v>57.631327433628329</v>
          </cell>
          <cell r="M137">
            <v>58.408495575221245</v>
          </cell>
          <cell r="N137">
            <v>59.048761061946905</v>
          </cell>
          <cell r="O137">
            <v>59.571238938053085</v>
          </cell>
          <cell r="P137">
            <v>60.704513274336286</v>
          </cell>
          <cell r="Q137">
            <v>61.583274336283189</v>
          </cell>
          <cell r="R137">
            <v>62.279026548672569</v>
          </cell>
          <cell r="S137">
            <v>62.775398230088491</v>
          </cell>
        </row>
        <row r="147">
          <cell r="C147">
            <v>46.368421052631575</v>
          </cell>
          <cell r="D147">
            <v>47.55491228070175</v>
          </cell>
          <cell r="E147">
            <v>48.538421052631577</v>
          </cell>
          <cell r="F147">
            <v>49.488421052631587</v>
          </cell>
          <cell r="G147">
            <v>50.374736842105257</v>
          </cell>
          <cell r="H147">
            <v>51.212631578947374</v>
          </cell>
          <cell r="I147">
            <v>51.844210526315791</v>
          </cell>
          <cell r="J147">
            <v>52.46035087719298</v>
          </cell>
          <cell r="K147">
            <v>53.627894736842109</v>
          </cell>
          <cell r="L147">
            <v>54.612105263157886</v>
          </cell>
          <cell r="M147">
            <v>55.375438596491229</v>
          </cell>
          <cell r="N147">
            <v>56.044736842105266</v>
          </cell>
          <cell r="O147">
            <v>56.596315789473685</v>
          </cell>
          <cell r="P147">
            <v>57.812280701754382</v>
          </cell>
          <cell r="Q147">
            <v>58.728947368421061</v>
          </cell>
          <cell r="R147">
            <v>59.454210526315791</v>
          </cell>
          <cell r="S147">
            <v>59.980701754385962</v>
          </cell>
        </row>
        <row r="157">
          <cell r="C157">
            <v>43.482608695652168</v>
          </cell>
          <cell r="D157">
            <v>44.675652173913051</v>
          </cell>
          <cell r="E157">
            <v>45.62869565217391</v>
          </cell>
          <cell r="F157">
            <v>46.533043478260872</v>
          </cell>
          <cell r="G157">
            <v>47.381739130434781</v>
          </cell>
          <cell r="H157">
            <v>48.19913043478261</v>
          </cell>
          <cell r="I157">
            <v>48.884347826086959</v>
          </cell>
          <cell r="J157">
            <v>49.513913043478261</v>
          </cell>
          <cell r="K157">
            <v>50.702173913043481</v>
          </cell>
          <cell r="L157">
            <v>51.687391304347827</v>
          </cell>
          <cell r="M157">
            <v>52.461304347826086</v>
          </cell>
          <cell r="N157">
            <v>53.155217391304355</v>
          </cell>
          <cell r="O157">
            <v>53.729130434782611</v>
          </cell>
          <cell r="P157">
            <v>54.993913043478258</v>
          </cell>
          <cell r="Q157">
            <v>55.976521739130433</v>
          </cell>
          <cell r="R157">
            <v>56.774782608695652</v>
          </cell>
          <cell r="S157">
            <v>57.322608695652178</v>
          </cell>
        </row>
        <row r="167">
          <cell r="C167">
            <v>40.808965517241376</v>
          </cell>
          <cell r="D167">
            <v>42.002068965517246</v>
          </cell>
          <cell r="E167">
            <v>42.930344827586204</v>
          </cell>
          <cell r="F167">
            <v>43.792413793103449</v>
          </cell>
          <cell r="G167">
            <v>44.651034482758618</v>
          </cell>
          <cell r="H167">
            <v>45.426896551724141</v>
          </cell>
          <cell r="I167">
            <v>46.088965517241384</v>
          </cell>
          <cell r="J167">
            <v>46.723103448275872</v>
          </cell>
          <cell r="K167">
            <v>47.936551724137935</v>
          </cell>
          <cell r="L167">
            <v>48.911379310344827</v>
          </cell>
          <cell r="M167">
            <v>49.695862068965518</v>
          </cell>
          <cell r="N167">
            <v>50.415862068965517</v>
          </cell>
          <cell r="O167">
            <v>51.002068965517239</v>
          </cell>
          <cell r="P167">
            <v>52.325517241379309</v>
          </cell>
          <cell r="Q167">
            <v>53.31862068965517</v>
          </cell>
          <cell r="R167">
            <v>54.10310344827586</v>
          </cell>
          <cell r="S167">
            <v>54.680689655172415</v>
          </cell>
        </row>
        <row r="177">
          <cell r="C177">
            <v>38.326410256410256</v>
          </cell>
          <cell r="D177">
            <v>39.481367521367517</v>
          </cell>
          <cell r="E177">
            <v>40.350769230769231</v>
          </cell>
          <cell r="F177">
            <v>41.195641025641024</v>
          </cell>
          <cell r="G177">
            <v>42.033247863247858</v>
          </cell>
          <cell r="H177">
            <v>42.812222222222225</v>
          </cell>
          <cell r="I177">
            <v>43.486153846153847</v>
          </cell>
          <cell r="J177">
            <v>44.108376068376067</v>
          </cell>
          <cell r="K177">
            <v>45.286153846153844</v>
          </cell>
          <cell r="L177">
            <v>46.260512820512822</v>
          </cell>
          <cell r="M177">
            <v>47.075726495726492</v>
          </cell>
          <cell r="N177">
            <v>47.830769230769235</v>
          </cell>
          <cell r="O177">
            <v>48.417435897435894</v>
          </cell>
          <cell r="P177">
            <v>49.756410256410255</v>
          </cell>
          <cell r="Q177">
            <v>50.779487179487177</v>
          </cell>
          <cell r="R177">
            <v>51.64273504273504</v>
          </cell>
          <cell r="S177">
            <v>52.22119658119658</v>
          </cell>
        </row>
        <row r="187">
          <cell r="C187">
            <v>35.964915254237283</v>
          </cell>
          <cell r="D187">
            <v>37.105932203389834</v>
          </cell>
          <cell r="E187">
            <v>37.940169491525424</v>
          </cell>
          <cell r="F187">
            <v>38.757966101694919</v>
          </cell>
          <cell r="G187">
            <v>39.537627118644068</v>
          </cell>
          <cell r="H187">
            <v>40.325084745762709</v>
          </cell>
          <cell r="I187">
            <v>40.981525423728812</v>
          </cell>
          <cell r="J187">
            <v>41.5964406779661</v>
          </cell>
          <cell r="K187">
            <v>42.79661016949153</v>
          </cell>
          <cell r="L187">
            <v>43.762711864406782</v>
          </cell>
          <cell r="M187">
            <v>44.588474576271182</v>
          </cell>
          <cell r="N187">
            <v>45.358983050847456</v>
          </cell>
          <cell r="O187">
            <v>45.942711864406768</v>
          </cell>
          <cell r="P187">
            <v>47.291355932203388</v>
          </cell>
          <cell r="Q187">
            <v>48.343898305084743</v>
          </cell>
          <cell r="R187">
            <v>49.182881355932203</v>
          </cell>
          <cell r="S187">
            <v>49.803559322033898</v>
          </cell>
        </row>
        <row r="197">
          <cell r="C197">
            <v>33.768823529411762</v>
          </cell>
          <cell r="D197">
            <v>34.88327731092437</v>
          </cell>
          <cell r="E197">
            <v>35.687647058823536</v>
          </cell>
          <cell r="F197">
            <v>36.506554621848736</v>
          </cell>
          <cell r="G197">
            <v>37.237647058823534</v>
          </cell>
          <cell r="H197">
            <v>37.990420168067232</v>
          </cell>
          <cell r="I197">
            <v>38.639747899159666</v>
          </cell>
          <cell r="J197">
            <v>39.240420168067232</v>
          </cell>
          <cell r="K197">
            <v>40.437478991596635</v>
          </cell>
          <cell r="L197">
            <v>41.387058823529408</v>
          </cell>
          <cell r="M197">
            <v>42.206554621848746</v>
          </cell>
          <cell r="N197">
            <v>42.984117647058817</v>
          </cell>
          <cell r="O197">
            <v>43.572352941176469</v>
          </cell>
          <cell r="P197">
            <v>44.95016806722689</v>
          </cell>
          <cell r="Q197">
            <v>46.023277310924364</v>
          </cell>
          <cell r="R197">
            <v>46.888823529411766</v>
          </cell>
          <cell r="S197">
            <v>47.515882352941176</v>
          </cell>
        </row>
        <row r="207">
          <cell r="C207">
            <v>31.71</v>
          </cell>
          <cell r="D207">
            <v>32.826666666666661</v>
          </cell>
          <cell r="E207">
            <v>33.619999999999997</v>
          </cell>
          <cell r="F207">
            <v>34.319999999999993</v>
          </cell>
          <cell r="G207">
            <v>35.069999999999993</v>
          </cell>
          <cell r="H207">
            <v>35.786666666666662</v>
          </cell>
          <cell r="I207">
            <v>36.424999999999997</v>
          </cell>
          <cell r="J207">
            <v>37.013333333333328</v>
          </cell>
          <cell r="K207">
            <v>38.18</v>
          </cell>
          <cell r="L207">
            <v>39.138333333333335</v>
          </cell>
          <cell r="M207">
            <v>39.976666666666667</v>
          </cell>
          <cell r="N207">
            <v>40.779999999999994</v>
          </cell>
          <cell r="O207">
            <v>41.356666666666662</v>
          </cell>
          <cell r="P207">
            <v>42.715000000000003</v>
          </cell>
          <cell r="Q207">
            <v>43.79</v>
          </cell>
          <cell r="R207">
            <v>44.648333333333333</v>
          </cell>
          <cell r="S207">
            <v>45.3</v>
          </cell>
        </row>
        <row r="217">
          <cell r="C217">
            <v>29.804628099173556</v>
          </cell>
          <cell r="D217">
            <v>30.860495867768599</v>
          </cell>
          <cell r="E217">
            <v>31.631074380165288</v>
          </cell>
          <cell r="F217">
            <v>32.325289256198346</v>
          </cell>
          <cell r="G217">
            <v>33.035206611570246</v>
          </cell>
          <cell r="H217">
            <v>33.727603305785124</v>
          </cell>
          <cell r="I217">
            <v>34.356611570247935</v>
          </cell>
          <cell r="J217">
            <v>34.932479338842974</v>
          </cell>
          <cell r="K217">
            <v>36.082148760330583</v>
          </cell>
          <cell r="L217">
            <v>37.011487603305788</v>
          </cell>
          <cell r="M217">
            <v>37.830991735537189</v>
          </cell>
          <cell r="N217">
            <v>38.620495867768589</v>
          </cell>
          <cell r="O217">
            <v>39.212479338842975</v>
          </cell>
          <cell r="P217">
            <v>40.581900826446279</v>
          </cell>
          <cell r="Q217">
            <v>41.656280991735535</v>
          </cell>
          <cell r="R217">
            <v>42.518677685950415</v>
          </cell>
          <cell r="S217">
            <v>43.192561983471073</v>
          </cell>
        </row>
        <row r="227">
          <cell r="C227">
            <v>28.036393442622948</v>
          </cell>
          <cell r="D227">
            <v>29.063606557377049</v>
          </cell>
          <cell r="E227">
            <v>29.795737704918032</v>
          </cell>
          <cell r="F227">
            <v>30.426885245901637</v>
          </cell>
          <cell r="G227">
            <v>31.109672131147541</v>
          </cell>
          <cell r="H227">
            <v>31.770327868852455</v>
          </cell>
          <cell r="I227">
            <v>32.380163934426236</v>
          </cell>
          <cell r="J227">
            <v>32.945737704918038</v>
          </cell>
          <cell r="K227">
            <v>34.076885245901636</v>
          </cell>
          <cell r="L227">
            <v>34.986721311475414</v>
          </cell>
          <cell r="M227">
            <v>35.805081967213113</v>
          </cell>
          <cell r="N227">
            <v>36.584426229508203</v>
          </cell>
          <cell r="O227">
            <v>37.18377049180328</v>
          </cell>
          <cell r="P227">
            <v>38.536885245901637</v>
          </cell>
          <cell r="Q227">
            <v>39.594262295081968</v>
          </cell>
          <cell r="R227">
            <v>40.481967213114757</v>
          </cell>
          <cell r="S227">
            <v>41.172459016393432</v>
          </cell>
        </row>
        <row r="237">
          <cell r="C237">
            <v>26.341463414634141</v>
          </cell>
          <cell r="D237">
            <v>27.331788617886176</v>
          </cell>
          <cell r="E237">
            <v>28.040081300813007</v>
          </cell>
          <cell r="F237">
            <v>28.666097560975611</v>
          </cell>
          <cell r="G237">
            <v>29.2990243902439</v>
          </cell>
          <cell r="H237">
            <v>29.928130081300811</v>
          </cell>
          <cell r="I237">
            <v>30.528780487804877</v>
          </cell>
          <cell r="J237">
            <v>31.085853658536585</v>
          </cell>
          <cell r="K237">
            <v>32.151463414634151</v>
          </cell>
          <cell r="L237">
            <v>33.028699186991872</v>
          </cell>
          <cell r="M237">
            <v>33.833902439024385</v>
          </cell>
          <cell r="N237">
            <v>34.608048780487806</v>
          </cell>
          <cell r="O237">
            <v>35.221056910569111</v>
          </cell>
          <cell r="P237">
            <v>36.601951219512202</v>
          </cell>
          <cell r="Q237">
            <v>37.62634146341464</v>
          </cell>
          <cell r="R237">
            <v>38.498699186991864</v>
          </cell>
          <cell r="S237">
            <v>39.193008130081296</v>
          </cell>
        </row>
        <row r="247">
          <cell r="C247">
            <v>24.754516129032258</v>
          </cell>
          <cell r="D247">
            <v>25.73741935483871</v>
          </cell>
          <cell r="E247">
            <v>26.403225806451616</v>
          </cell>
          <cell r="F247">
            <v>26.983870967741939</v>
          </cell>
          <cell r="G247">
            <v>27.596774193548384</v>
          </cell>
          <cell r="H247">
            <v>28.213225806451611</v>
          </cell>
          <cell r="I247">
            <v>28.800322580645158</v>
          </cell>
          <cell r="J247">
            <v>29.33258064516129</v>
          </cell>
          <cell r="K247">
            <v>30.390322580645162</v>
          </cell>
          <cell r="L247">
            <v>31.258064516129028</v>
          </cell>
          <cell r="M247">
            <v>32.030967741935484</v>
          </cell>
          <cell r="N247">
            <v>32.767419354838715</v>
          </cell>
          <cell r="O247">
            <v>33.384516129032264</v>
          </cell>
          <cell r="P247">
            <v>34.750645161290329</v>
          </cell>
          <cell r="Q247">
            <v>35.766774193548386</v>
          </cell>
          <cell r="R247">
            <v>36.628064516129037</v>
          </cell>
          <cell r="S247">
            <v>37.328709677419354</v>
          </cell>
        </row>
        <row r="257">
          <cell r="C257">
            <v>23.302</v>
          </cell>
          <cell r="D257">
            <v>24.28</v>
          </cell>
          <cell r="E257">
            <v>24.880000000000003</v>
          </cell>
          <cell r="F257">
            <v>25.456000000000003</v>
          </cell>
          <cell r="G257">
            <v>26.05</v>
          </cell>
          <cell r="H257">
            <v>26.634</v>
          </cell>
          <cell r="I257">
            <v>27.192</v>
          </cell>
          <cell r="J257">
            <v>27.72</v>
          </cell>
          <cell r="K257">
            <v>28.750000000000007</v>
          </cell>
          <cell r="L257">
            <v>29.592000000000002</v>
          </cell>
          <cell r="M257">
            <v>30.332000000000004</v>
          </cell>
          <cell r="N257">
            <v>31.036000000000001</v>
          </cell>
          <cell r="O257">
            <v>31.64</v>
          </cell>
          <cell r="P257">
            <v>33</v>
          </cell>
          <cell r="Q257">
            <v>34.016000000000005</v>
          </cell>
          <cell r="R257">
            <v>34.887999999999998</v>
          </cell>
          <cell r="S257">
            <v>35.591999999999999</v>
          </cell>
        </row>
        <row r="267">
          <cell r="C267">
            <v>21.905714285714286</v>
          </cell>
          <cell r="D267">
            <v>22.885714285714286</v>
          </cell>
          <cell r="E267">
            <v>23.457142857142856</v>
          </cell>
          <cell r="F267">
            <v>23.990476190476187</v>
          </cell>
          <cell r="G267">
            <v>24.555555555555557</v>
          </cell>
          <cell r="H267">
            <v>25.117460317460317</v>
          </cell>
          <cell r="I267">
            <v>25.648571428571426</v>
          </cell>
          <cell r="J267">
            <v>26.14063492063492</v>
          </cell>
          <cell r="K267">
            <v>27.14</v>
          </cell>
          <cell r="L267">
            <v>27.962222222222223</v>
          </cell>
          <cell r="M267">
            <v>28.687301587301587</v>
          </cell>
          <cell r="N267">
            <v>29.385714285714286</v>
          </cell>
          <cell r="O267">
            <v>29.996825396825397</v>
          </cell>
          <cell r="P267">
            <v>31.326825396825399</v>
          </cell>
          <cell r="Q267">
            <v>32.324761904761907</v>
          </cell>
          <cell r="R267">
            <v>33.175555555555555</v>
          </cell>
          <cell r="S267">
            <v>33.878412698412696</v>
          </cell>
        </row>
        <row r="277">
          <cell r="C277">
            <v>20.587244094488192</v>
          </cell>
          <cell r="D277">
            <v>21.525196850393701</v>
          </cell>
          <cell r="E277">
            <v>22.131496062992127</v>
          </cell>
          <cell r="F277">
            <v>22.629133858267718</v>
          </cell>
          <cell r="G277">
            <v>23.148031496062991</v>
          </cell>
          <cell r="H277">
            <v>23.680472440944879</v>
          </cell>
          <cell r="I277">
            <v>24.202834645669288</v>
          </cell>
          <cell r="J277">
            <v>24.68314960629921</v>
          </cell>
          <cell r="K277">
            <v>25.643779527559055</v>
          </cell>
          <cell r="L277">
            <v>26.445748031496063</v>
          </cell>
          <cell r="M277">
            <v>27.144330708661418</v>
          </cell>
          <cell r="N277">
            <v>27.812755905511811</v>
          </cell>
          <cell r="O277">
            <v>28.414330708661417</v>
          </cell>
          <cell r="P277">
            <v>29.716062992125984</v>
          </cell>
          <cell r="Q277">
            <v>30.689291338582677</v>
          </cell>
          <cell r="R277">
            <v>31.542047244094487</v>
          </cell>
          <cell r="S277">
            <v>32.258425196850396</v>
          </cell>
        </row>
        <row r="287">
          <cell r="C287">
            <v>19.399999999999999</v>
          </cell>
          <cell r="D287">
            <v>20.321249999999999</v>
          </cell>
          <cell r="E287">
            <v>20.829062499999999</v>
          </cell>
          <cell r="F287">
            <v>21.350625000000001</v>
          </cell>
          <cell r="G287">
            <v>21.8553125</v>
          </cell>
          <cell r="H287">
            <v>22.347500000000004</v>
          </cell>
          <cell r="I287">
            <v>22.838437500000005</v>
          </cell>
          <cell r="J287">
            <v>23.299375000000005</v>
          </cell>
          <cell r="K287">
            <v>24.231250000000003</v>
          </cell>
          <cell r="L287">
            <v>25.012499999999996</v>
          </cell>
          <cell r="M287">
            <v>25.689999999999998</v>
          </cell>
          <cell r="N287">
            <v>26.346250000000001</v>
          </cell>
          <cell r="O287">
            <v>26.939999999999998</v>
          </cell>
          <cell r="P287">
            <v>28.197656250000001</v>
          </cell>
          <cell r="Q287">
            <v>29.188749999999999</v>
          </cell>
          <cell r="R287">
            <v>30.034062499999997</v>
          </cell>
          <cell r="S287">
            <v>30.737499999999997</v>
          </cell>
        </row>
        <row r="297">
          <cell r="C297">
            <v>18.266976744186046</v>
          </cell>
          <cell r="D297">
            <v>19.171472868217055</v>
          </cell>
          <cell r="E297">
            <v>19.644341085271318</v>
          </cell>
          <cell r="F297">
            <v>20.123720930232558</v>
          </cell>
          <cell r="G297">
            <v>20.600077519379845</v>
          </cell>
          <cell r="H297">
            <v>21.074961240310074</v>
          </cell>
          <cell r="I297">
            <v>21.555581395348835</v>
          </cell>
          <cell r="J297">
            <v>21.976046511627906</v>
          </cell>
          <cell r="K297">
            <v>22.865348837209304</v>
          </cell>
          <cell r="L297">
            <v>23.645193798449611</v>
          </cell>
          <cell r="M297">
            <v>24.313255813953489</v>
          </cell>
          <cell r="N297">
            <v>24.941162790697675</v>
          </cell>
          <cell r="O297">
            <v>25.52124031007752</v>
          </cell>
          <cell r="P297">
            <v>26.7515503875969</v>
          </cell>
          <cell r="Q297">
            <v>27.711860465116281</v>
          </cell>
          <cell r="R297">
            <v>28.533565891472868</v>
          </cell>
          <cell r="S297">
            <v>29.235116279069768</v>
          </cell>
        </row>
        <row r="307">
          <cell r="C307">
            <v>17.215384615384615</v>
          </cell>
          <cell r="D307">
            <v>18.103846153846153</v>
          </cell>
          <cell r="E307">
            <v>18.542307692307691</v>
          </cell>
          <cell r="F307">
            <v>18.99923076923077</v>
          </cell>
          <cell r="G307">
            <v>19.445384615384615</v>
          </cell>
          <cell r="H307">
            <v>19.879230769230769</v>
          </cell>
          <cell r="I307">
            <v>20.325384615384618</v>
          </cell>
          <cell r="J307">
            <v>20.750769230769233</v>
          </cell>
          <cell r="K307">
            <v>21.60923076923077</v>
          </cell>
          <cell r="L307">
            <v>22.363076923076925</v>
          </cell>
          <cell r="M307">
            <v>23.001538461538459</v>
          </cell>
          <cell r="N307">
            <v>23.609230769230766</v>
          </cell>
          <cell r="O307">
            <v>24.17923076923077</v>
          </cell>
          <cell r="P307">
            <v>25.371538461538464</v>
          </cell>
          <cell r="Q307">
            <v>26.330000000000002</v>
          </cell>
          <cell r="R307">
            <v>27.145384615384621</v>
          </cell>
          <cell r="S307">
            <v>27.83923076923077</v>
          </cell>
        </row>
        <row r="317">
          <cell r="C317">
            <v>16.190992366412214</v>
          </cell>
          <cell r="D317">
            <v>17.079923664122138</v>
          </cell>
          <cell r="E317">
            <v>17.50740458015267</v>
          </cell>
          <cell r="F317">
            <v>17.934885496183206</v>
          </cell>
          <cell r="G317">
            <v>18.362366412213746</v>
          </cell>
          <cell r="H317">
            <v>18.788778625954201</v>
          </cell>
          <cell r="I317">
            <v>19.208625954198475</v>
          </cell>
          <cell r="J317">
            <v>19.615801526717558</v>
          </cell>
          <cell r="K317">
            <v>20.426564885496184</v>
          </cell>
          <cell r="L317">
            <v>21.165114503816795</v>
          </cell>
          <cell r="M317">
            <v>21.791221374045804</v>
          </cell>
          <cell r="N317">
            <v>22.371374045801527</v>
          </cell>
          <cell r="O317">
            <v>22.930152671755728</v>
          </cell>
          <cell r="P317">
            <v>24.075190839694656</v>
          </cell>
          <cell r="Q317">
            <v>25.017175572519086</v>
          </cell>
          <cell r="R317">
            <v>25.826335877862597</v>
          </cell>
          <cell r="S317">
            <v>26.523740458015268</v>
          </cell>
        </row>
        <row r="327">
          <cell r="C327">
            <v>15.265454545454546</v>
          </cell>
          <cell r="D327">
            <v>16.096060606060604</v>
          </cell>
          <cell r="E327">
            <v>16.497575757575756</v>
          </cell>
          <cell r="F327">
            <v>16.899090909090908</v>
          </cell>
          <cell r="G327">
            <v>17.303636363636365</v>
          </cell>
          <cell r="H327">
            <v>17.712121212121211</v>
          </cell>
          <cell r="I327">
            <v>18.113636363636363</v>
          </cell>
          <cell r="J327">
            <v>18.509393939393938</v>
          </cell>
          <cell r="K327">
            <v>19.286363636363632</v>
          </cell>
          <cell r="L327">
            <v>19.995454545454546</v>
          </cell>
          <cell r="M327">
            <v>20.604242424242418</v>
          </cell>
          <cell r="N327">
            <v>21.157272727272723</v>
          </cell>
          <cell r="O327">
            <v>21.695454545454542</v>
          </cell>
          <cell r="P327">
            <v>22.812424242424239</v>
          </cell>
          <cell r="Q327">
            <v>23.741818181818182</v>
          </cell>
          <cell r="R327">
            <v>24.535757575757579</v>
          </cell>
          <cell r="S327">
            <v>25.210606060606061</v>
          </cell>
        </row>
        <row r="337">
          <cell r="C337">
            <v>14.368872180451126</v>
          </cell>
          <cell r="D337">
            <v>15.213984962406018</v>
          </cell>
          <cell r="E337">
            <v>15.612481203007521</v>
          </cell>
          <cell r="F337">
            <v>16.000751879699251</v>
          </cell>
          <cell r="G337">
            <v>16.38421052631579</v>
          </cell>
          <cell r="H337">
            <v>16.767819548872183</v>
          </cell>
          <cell r="I337">
            <v>17.158796992481207</v>
          </cell>
          <cell r="J337">
            <v>17.51864661654135</v>
          </cell>
          <cell r="K337">
            <v>18.251503759398492</v>
          </cell>
          <cell r="L337">
            <v>18.950000000000003</v>
          </cell>
          <cell r="M337">
            <v>19.520977443609024</v>
          </cell>
          <cell r="N337">
            <v>20.069849624060151</v>
          </cell>
          <cell r="O337">
            <v>20.610526315789478</v>
          </cell>
          <cell r="P337">
            <v>21.677142857142854</v>
          </cell>
          <cell r="Q337">
            <v>22.577293233082703</v>
          </cell>
          <cell r="R337">
            <v>23.349473684210523</v>
          </cell>
          <cell r="S337">
            <v>24.030225563909774</v>
          </cell>
        </row>
        <row r="347">
          <cell r="C347">
            <v>13.553582089552236</v>
          </cell>
          <cell r="D347">
            <v>14.314776119402982</v>
          </cell>
          <cell r="E347">
            <v>14.717611940298506</v>
          </cell>
          <cell r="F347">
            <v>15.08925373134328</v>
          </cell>
          <cell r="G347">
            <v>15.449701492537313</v>
          </cell>
          <cell r="H347">
            <v>15.815373134328357</v>
          </cell>
          <cell r="I347">
            <v>16.173880597014922</v>
          </cell>
          <cell r="J347">
            <v>16.532089552238801</v>
          </cell>
          <cell r="K347">
            <v>17.238955223880595</v>
          </cell>
          <cell r="L347">
            <v>17.907910447761189</v>
          </cell>
          <cell r="M347">
            <v>18.467611940298504</v>
          </cell>
          <cell r="N347">
            <v>18.984328358208952</v>
          </cell>
          <cell r="O347">
            <v>19.503880597014923</v>
          </cell>
          <cell r="P347">
            <v>20.537313432835816</v>
          </cell>
          <cell r="Q347">
            <v>21.415820895522383</v>
          </cell>
          <cell r="R347">
            <v>22.177014925373129</v>
          </cell>
          <cell r="S347">
            <v>22.833731343283578</v>
          </cell>
        </row>
        <row r="357">
          <cell r="C357">
            <v>12.792222222222222</v>
          </cell>
          <cell r="D357">
            <v>13.53296296296296</v>
          </cell>
          <cell r="E357">
            <v>13.914814814814815</v>
          </cell>
          <cell r="F357">
            <v>14.273333333333333</v>
          </cell>
          <cell r="G357">
            <v>14.621481481481478</v>
          </cell>
          <cell r="H357">
            <v>14.947407407407406</v>
          </cell>
          <cell r="I357">
            <v>15.313333333333331</v>
          </cell>
          <cell r="J357">
            <v>15.66333333333333</v>
          </cell>
          <cell r="K357">
            <v>16.338888888888885</v>
          </cell>
          <cell r="L357">
            <v>16.972222222222218</v>
          </cell>
          <cell r="M357">
            <v>17.461111111111109</v>
          </cell>
          <cell r="N357">
            <v>17.976666666666663</v>
          </cell>
          <cell r="O357">
            <v>18.487037037037034</v>
          </cell>
          <cell r="P357">
            <v>19.487407407407407</v>
          </cell>
          <cell r="Q357">
            <v>20.351111111111109</v>
          </cell>
          <cell r="R357">
            <v>21.097407407407406</v>
          </cell>
          <cell r="S357">
            <v>21.727037037037032</v>
          </cell>
        </row>
      </sheetData>
      <sheetData sheetId="3">
        <row r="19">
          <cell r="C19">
            <v>0.97483431952662725</v>
          </cell>
          <cell r="D19">
            <v>0.97877909270216956</v>
          </cell>
          <cell r="E19">
            <v>0.98272386587771199</v>
          </cell>
          <cell r="F19">
            <v>0.98666863905325441</v>
          </cell>
          <cell r="G19">
            <v>0.98971005917159749</v>
          </cell>
          <cell r="H19">
            <v>0.99355818540433927</v>
          </cell>
          <cell r="I19">
            <v>0.99662721893491124</v>
          </cell>
          <cell r="J19">
            <v>0.99958579881656806</v>
          </cell>
          <cell r="K19">
            <v>1.0055029585798818</v>
          </cell>
          <cell r="L19">
            <v>1.0102156476002628</v>
          </cell>
          <cell r="M19">
            <v>1.0145581854043391</v>
          </cell>
          <cell r="N19">
            <v>1.0185029585798815</v>
          </cell>
          <cell r="O19">
            <v>1.0224477317554239</v>
          </cell>
          <cell r="P19">
            <v>1.0285857988165679</v>
          </cell>
          <cell r="Q19">
            <v>1.0326686390532545</v>
          </cell>
          <cell r="R19">
            <v>1.0366134122287967</v>
          </cell>
          <cell r="S19">
            <v>1.0396686390532544</v>
          </cell>
        </row>
        <row r="25">
          <cell r="C25">
            <v>0.97476470588235287</v>
          </cell>
          <cell r="D25">
            <v>0.97868627450980394</v>
          </cell>
          <cell r="E25">
            <v>0.98260784313725491</v>
          </cell>
          <cell r="F25">
            <v>0.98652941176470588</v>
          </cell>
          <cell r="G25">
            <v>0.98958823529411755</v>
          </cell>
          <cell r="H25">
            <v>0.99337254901960781</v>
          </cell>
          <cell r="I25">
            <v>0.99647058823529411</v>
          </cell>
          <cell r="J25">
            <v>0.99941176470588233</v>
          </cell>
          <cell r="K25">
            <v>1.0052941176470589</v>
          </cell>
          <cell r="L25">
            <v>1.0100261437908495</v>
          </cell>
          <cell r="M25">
            <v>1.0143725490196076</v>
          </cell>
          <cell r="N25">
            <v>1.0182941176470588</v>
          </cell>
          <cell r="O25">
            <v>1.0222156862745098</v>
          </cell>
          <cell r="P25">
            <v>1.0284117647058821</v>
          </cell>
          <cell r="Q25">
            <v>1.0325294117647057</v>
          </cell>
          <cell r="R25">
            <v>1.0364509803921569</v>
          </cell>
          <cell r="S25">
            <v>1.0395294117647058</v>
          </cell>
        </row>
        <row r="35">
          <cell r="C35">
            <v>0.97465048543689314</v>
          </cell>
          <cell r="D35">
            <v>0.97853398058252428</v>
          </cell>
          <cell r="E35">
            <v>0.9824174757281553</v>
          </cell>
          <cell r="F35">
            <v>0.98630097087378643</v>
          </cell>
          <cell r="G35">
            <v>0.989388349514563</v>
          </cell>
          <cell r="H35">
            <v>0.99306796116504858</v>
          </cell>
          <cell r="I35">
            <v>0.99621359223300976</v>
          </cell>
          <cell r="J35">
            <v>0.99912621359223297</v>
          </cell>
          <cell r="K35">
            <v>1.0049514563106796</v>
          </cell>
          <cell r="L35">
            <v>1.009715210355987</v>
          </cell>
          <cell r="M35">
            <v>1.0140679611650483</v>
          </cell>
          <cell r="N35">
            <v>1.0179514563106795</v>
          </cell>
          <cell r="O35">
            <v>1.0218349514563105</v>
          </cell>
          <cell r="P35">
            <v>1.0281262135922329</v>
          </cell>
          <cell r="Q35">
            <v>1.0323009708737862</v>
          </cell>
          <cell r="R35">
            <v>1.0361844660194175</v>
          </cell>
          <cell r="S35">
            <v>1.0393009708737864</v>
          </cell>
        </row>
        <row r="45">
          <cell r="C45">
            <v>0.97453846153846146</v>
          </cell>
          <cell r="D45">
            <v>0.97838461538461541</v>
          </cell>
          <cell r="E45">
            <v>0.98223076923076924</v>
          </cell>
          <cell r="F45">
            <v>0.98607692307692307</v>
          </cell>
          <cell r="G45">
            <v>0.98919230769230759</v>
          </cell>
          <cell r="H45">
            <v>0.99276923076923074</v>
          </cell>
          <cell r="I45">
            <v>0.99596153846153845</v>
          </cell>
          <cell r="J45">
            <v>0.99884615384615383</v>
          </cell>
          <cell r="K45">
            <v>1.0046153846153847</v>
          </cell>
          <cell r="L45">
            <v>1.0094102564102563</v>
          </cell>
          <cell r="M45">
            <v>1.0137692307692305</v>
          </cell>
          <cell r="N45">
            <v>1.0176153846153846</v>
          </cell>
          <cell r="O45">
            <v>1.0214615384615384</v>
          </cell>
          <cell r="P45">
            <v>1.0278461538461536</v>
          </cell>
          <cell r="Q45">
            <v>1.0320769230769229</v>
          </cell>
          <cell r="R45">
            <v>1.0359230769230769</v>
          </cell>
          <cell r="S45">
            <v>1.039076923076923</v>
          </cell>
        </row>
        <row r="55">
          <cell r="C55">
            <v>0.97442857142857142</v>
          </cell>
          <cell r="D55">
            <v>0.97823809523809524</v>
          </cell>
          <cell r="E55">
            <v>0.98204761904761906</v>
          </cell>
          <cell r="F55">
            <v>0.98585714285714288</v>
          </cell>
          <cell r="G55">
            <v>0.98899999999999988</v>
          </cell>
          <cell r="H55">
            <v>0.99247619047619051</v>
          </cell>
          <cell r="I55">
            <v>0.99571428571428566</v>
          </cell>
          <cell r="J55">
            <v>0.99857142857142855</v>
          </cell>
          <cell r="K55">
            <v>1.0042857142857144</v>
          </cell>
          <cell r="L55">
            <v>1.0091111111111111</v>
          </cell>
          <cell r="M55">
            <v>1.0134761904761902</v>
          </cell>
          <cell r="N55">
            <v>1.0172857142857141</v>
          </cell>
          <cell r="O55">
            <v>1.0210952380952381</v>
          </cell>
          <cell r="P55">
            <v>1.0275714285714284</v>
          </cell>
          <cell r="Q55">
            <v>1.0318571428571428</v>
          </cell>
          <cell r="R55">
            <v>1.0356666666666665</v>
          </cell>
          <cell r="S55">
            <v>1.0388571428571429</v>
          </cell>
        </row>
        <row r="65">
          <cell r="C65">
            <v>0.9743207547169811</v>
          </cell>
          <cell r="D65">
            <v>0.97809433962264147</v>
          </cell>
          <cell r="E65">
            <v>0.98186792452830185</v>
          </cell>
          <cell r="F65">
            <v>0.98564150943396223</v>
          </cell>
          <cell r="G65">
            <v>0.98881132075471689</v>
          </cell>
          <cell r="H65">
            <v>0.99218867924528298</v>
          </cell>
          <cell r="I65">
            <v>0.99547169811320757</v>
          </cell>
          <cell r="J65">
            <v>0.9983018867924528</v>
          </cell>
          <cell r="K65">
            <v>1.0039622641509436</v>
          </cell>
          <cell r="L65">
            <v>1.0088176100628929</v>
          </cell>
          <cell r="M65">
            <v>1.0131886792452829</v>
          </cell>
          <cell r="N65">
            <v>1.0169622641509433</v>
          </cell>
          <cell r="O65">
            <v>1.0207358490566036</v>
          </cell>
          <cell r="P65">
            <v>1.0273018867924526</v>
          </cell>
          <cell r="Q65">
            <v>1.0316415094339622</v>
          </cell>
          <cell r="R65">
            <v>1.0354150943396225</v>
          </cell>
          <cell r="S65">
            <v>1.0386415094339623</v>
          </cell>
        </row>
        <row r="75">
          <cell r="C75">
            <v>0.97421495327102803</v>
          </cell>
          <cell r="D75">
            <v>0.97795327102803742</v>
          </cell>
          <cell r="E75">
            <v>0.9816915887850467</v>
          </cell>
          <cell r="F75">
            <v>0.98542990654205609</v>
          </cell>
          <cell r="G75">
            <v>0.98862616822429894</v>
          </cell>
          <cell r="H75">
            <v>0.99190654205607476</v>
          </cell>
          <cell r="I75">
            <v>0.99523364485981303</v>
          </cell>
          <cell r="J75">
            <v>0.99803738317757007</v>
          </cell>
          <cell r="K75">
            <v>1.0036448598130843</v>
          </cell>
          <cell r="L75">
            <v>1.0085295950155764</v>
          </cell>
          <cell r="M75">
            <v>1.012890965732087</v>
          </cell>
          <cell r="N75">
            <v>1.0166448598130839</v>
          </cell>
          <cell r="O75">
            <v>1.0203831775700933</v>
          </cell>
          <cell r="P75">
            <v>1.0270373831775699</v>
          </cell>
          <cell r="Q75">
            <v>1.031429906542056</v>
          </cell>
          <cell r="R75">
            <v>1.0351682242990654</v>
          </cell>
          <cell r="S75">
            <v>1.0384299065420561</v>
          </cell>
        </row>
        <row r="85">
          <cell r="C85">
            <v>0.97411111111111104</v>
          </cell>
          <cell r="D85">
            <v>0.9778148148148148</v>
          </cell>
          <cell r="E85">
            <v>0.98151851851851846</v>
          </cell>
          <cell r="F85">
            <v>0.98522222222222222</v>
          </cell>
          <cell r="G85">
            <v>0.98844444444444435</v>
          </cell>
          <cell r="H85">
            <v>0.99162962962962964</v>
          </cell>
          <cell r="I85">
            <v>0.995</v>
          </cell>
          <cell r="J85">
            <v>0.99777777777777776</v>
          </cell>
          <cell r="K85">
            <v>1.0033333333333334</v>
          </cell>
          <cell r="L85">
            <v>1.008246913580247</v>
          </cell>
          <cell r="M85">
            <v>1.0125679012345676</v>
          </cell>
          <cell r="N85">
            <v>1.0163333333333333</v>
          </cell>
          <cell r="O85">
            <v>1.0200370370370369</v>
          </cell>
          <cell r="P85">
            <v>1.0267777777777776</v>
          </cell>
          <cell r="Q85">
            <v>1.031222222222222</v>
          </cell>
          <cell r="R85">
            <v>1.0349259259259258</v>
          </cell>
          <cell r="S85">
            <v>1.0382222222222222</v>
          </cell>
        </row>
        <row r="95">
          <cell r="C95">
            <v>0.97400917431192657</v>
          </cell>
          <cell r="D95">
            <v>0.97767889908256878</v>
          </cell>
          <cell r="E95">
            <v>0.98134862385321098</v>
          </cell>
          <cell r="F95">
            <v>0.98501834862385318</v>
          </cell>
          <cell r="G95">
            <v>0.98826605504587139</v>
          </cell>
          <cell r="H95">
            <v>0.99135779816513758</v>
          </cell>
          <cell r="I95">
            <v>0.99477064220183486</v>
          </cell>
          <cell r="J95">
            <v>0.99752293577981654</v>
          </cell>
          <cell r="K95">
            <v>1.0030275229357799</v>
          </cell>
          <cell r="L95">
            <v>1.0079694189602446</v>
          </cell>
          <cell r="M95">
            <v>1.0122507645259937</v>
          </cell>
          <cell r="N95">
            <v>1.0160275229357798</v>
          </cell>
          <cell r="O95">
            <v>1.0196972477064219</v>
          </cell>
          <cell r="P95">
            <v>1.0265229357798162</v>
          </cell>
          <cell r="Q95">
            <v>1.0310183486238531</v>
          </cell>
          <cell r="R95">
            <v>1.0346880733944954</v>
          </cell>
          <cell r="S95">
            <v>1.0380183486238532</v>
          </cell>
        </row>
        <row r="105">
          <cell r="C105">
            <v>0.97390909090909084</v>
          </cell>
          <cell r="D105">
            <v>0.9775454545454545</v>
          </cell>
          <cell r="E105">
            <v>0.98118181818181816</v>
          </cell>
          <cell r="F105">
            <v>0.98481818181818181</v>
          </cell>
          <cell r="G105">
            <v>0.98809090909090902</v>
          </cell>
          <cell r="H105">
            <v>0.99109090909090913</v>
          </cell>
          <cell r="I105">
            <v>0.99454545454545451</v>
          </cell>
          <cell r="J105">
            <v>0.99727272727272731</v>
          </cell>
          <cell r="K105">
            <v>1.0027272727272729</v>
          </cell>
          <cell r="L105">
            <v>1.0076969696969698</v>
          </cell>
          <cell r="M105">
            <v>1.0119393939393937</v>
          </cell>
          <cell r="N105">
            <v>1.0157272727272726</v>
          </cell>
          <cell r="O105">
            <v>1.0193636363636362</v>
          </cell>
          <cell r="P105">
            <v>1.026272727272727</v>
          </cell>
          <cell r="Q105">
            <v>1.0308181818181816</v>
          </cell>
          <cell r="R105">
            <v>1.0344545454545453</v>
          </cell>
          <cell r="S105">
            <v>1.0378181818181818</v>
          </cell>
        </row>
        <row r="115">
          <cell r="C115">
            <v>0.97381081081081078</v>
          </cell>
          <cell r="D115">
            <v>0.97741441441441435</v>
          </cell>
          <cell r="E115">
            <v>0.98101801801801802</v>
          </cell>
          <cell r="F115">
            <v>0.98462162162162159</v>
          </cell>
          <cell r="G115">
            <v>0.98791891891891881</v>
          </cell>
          <cell r="H115">
            <v>0.99082882882882883</v>
          </cell>
          <cell r="I115">
            <v>0.99432432432432427</v>
          </cell>
          <cell r="J115">
            <v>0.99702702702702706</v>
          </cell>
          <cell r="K115">
            <v>1.0024324324324325</v>
          </cell>
          <cell r="L115">
            <v>1.0074294294294295</v>
          </cell>
          <cell r="M115">
            <v>1.0116336336336333</v>
          </cell>
          <cell r="N115">
            <v>1.0154324324324324</v>
          </cell>
          <cell r="O115">
            <v>1.019036036036036</v>
          </cell>
          <cell r="P115">
            <v>1.0260270270270269</v>
          </cell>
          <cell r="Q115">
            <v>1.0306216216216215</v>
          </cell>
          <cell r="R115">
            <v>1.0342252252252251</v>
          </cell>
          <cell r="S115">
            <v>1.0376216216216216</v>
          </cell>
        </row>
        <row r="125">
          <cell r="C125">
            <v>0.97371428571428564</v>
          </cell>
          <cell r="D125">
            <v>0.97728571428571431</v>
          </cell>
          <cell r="E125">
            <v>0.98085714285714287</v>
          </cell>
          <cell r="F125">
            <v>0.98442857142857143</v>
          </cell>
          <cell r="G125">
            <v>0.98774999999999991</v>
          </cell>
          <cell r="H125">
            <v>0.99057142857142855</v>
          </cell>
          <cell r="I125">
            <v>0.99410714285714286</v>
          </cell>
          <cell r="J125">
            <v>0.99678571428571427</v>
          </cell>
          <cell r="K125">
            <v>1.0021428571428572</v>
          </cell>
          <cell r="L125">
            <v>1.0071666666666665</v>
          </cell>
          <cell r="M125">
            <v>1.0113333333333332</v>
          </cell>
          <cell r="N125">
            <v>1.0151428571428571</v>
          </cell>
          <cell r="O125">
            <v>1.0187142857142857</v>
          </cell>
          <cell r="P125">
            <v>1.0257857142857141</v>
          </cell>
          <cell r="Q125">
            <v>1.0304285714285712</v>
          </cell>
          <cell r="R125">
            <v>1.0339999999999998</v>
          </cell>
          <cell r="S125">
            <v>1.0374285714285714</v>
          </cell>
        </row>
        <row r="135">
          <cell r="C135">
            <v>0.97361946902654861</v>
          </cell>
          <cell r="D135">
            <v>0.9771592920353982</v>
          </cell>
          <cell r="E135">
            <v>0.98069911504424778</v>
          </cell>
          <cell r="F135">
            <v>0.98423893805309737</v>
          </cell>
          <cell r="G135">
            <v>0.98758407079646005</v>
          </cell>
          <cell r="H135">
            <v>0.99031858407079643</v>
          </cell>
          <cell r="I135">
            <v>0.99385840707964601</v>
          </cell>
          <cell r="J135">
            <v>0.9965486725663717</v>
          </cell>
          <cell r="K135">
            <v>1.0018584070796461</v>
          </cell>
          <cell r="L135">
            <v>1.0069085545722714</v>
          </cell>
          <cell r="M135">
            <v>1.0110383480825957</v>
          </cell>
          <cell r="N135">
            <v>1.0148584070796458</v>
          </cell>
          <cell r="O135">
            <v>1.0183982300884955</v>
          </cell>
          <cell r="P135">
            <v>1.0255486725663714</v>
          </cell>
          <cell r="Q135">
            <v>1.0302389380530972</v>
          </cell>
          <cell r="R135">
            <v>1.0337787610619469</v>
          </cell>
          <cell r="S135">
            <v>1.0372389380530973</v>
          </cell>
        </row>
        <row r="145">
          <cell r="C145">
            <v>0.97352631578947368</v>
          </cell>
          <cell r="D145">
            <v>0.97703508771929826</v>
          </cell>
          <cell r="E145">
            <v>0.98054385964912283</v>
          </cell>
          <cell r="F145">
            <v>0.9840526315789474</v>
          </cell>
          <cell r="G145">
            <v>0.98742105263157887</v>
          </cell>
          <cell r="H145">
            <v>0.99007017543859643</v>
          </cell>
          <cell r="I145">
            <v>0.99357894736842101</v>
          </cell>
          <cell r="J145">
            <v>0.99631578947368415</v>
          </cell>
          <cell r="K145">
            <v>1.0015789473684211</v>
          </cell>
          <cell r="L145">
            <v>1.0066549707602339</v>
          </cell>
          <cell r="M145">
            <v>1.0107485380116956</v>
          </cell>
          <cell r="N145">
            <v>1.0145789473684208</v>
          </cell>
          <cell r="O145">
            <v>1.0180877192982456</v>
          </cell>
          <cell r="P145">
            <v>1.025315789473684</v>
          </cell>
          <cell r="Q145">
            <v>1.0300526315789473</v>
          </cell>
          <cell r="R145">
            <v>1.0335614035087719</v>
          </cell>
          <cell r="S145">
            <v>1.0370526315789472</v>
          </cell>
        </row>
        <row r="155">
          <cell r="C155">
            <v>0.97343478260869565</v>
          </cell>
          <cell r="D155">
            <v>0.9769130434782608</v>
          </cell>
          <cell r="E155">
            <v>0.98039130434782606</v>
          </cell>
          <cell r="F155">
            <v>0.98386956521739133</v>
          </cell>
          <cell r="G155">
            <v>0.9872608695652173</v>
          </cell>
          <cell r="H155">
            <v>0.98986956521739122</v>
          </cell>
          <cell r="I155">
            <v>0.99330434782608701</v>
          </cell>
          <cell r="J155">
            <v>0.99608695652173918</v>
          </cell>
          <cell r="K155">
            <v>1.001304347826087</v>
          </cell>
          <cell r="L155">
            <v>1.0064057971014493</v>
          </cell>
          <cell r="M155">
            <v>1.0104637681159421</v>
          </cell>
          <cell r="N155">
            <v>1.0143043478260867</v>
          </cell>
          <cell r="O155">
            <v>1.0177826086956521</v>
          </cell>
          <cell r="P155">
            <v>1.0250869565217389</v>
          </cell>
          <cell r="Q155">
            <v>1.0298695652173913</v>
          </cell>
          <cell r="R155">
            <v>1.0333478260869564</v>
          </cell>
          <cell r="S155">
            <v>1.0368260869565216</v>
          </cell>
        </row>
        <row r="165">
          <cell r="C165">
            <v>0.97334482758620688</v>
          </cell>
          <cell r="D165">
            <v>0.97679310344827586</v>
          </cell>
          <cell r="E165">
            <v>0.98024137931034483</v>
          </cell>
          <cell r="F165">
            <v>0.9836896551724138</v>
          </cell>
          <cell r="G165">
            <v>0.98710344827586194</v>
          </cell>
          <cell r="H165">
            <v>0.9896896551724137</v>
          </cell>
          <cell r="I165">
            <v>0.99303448275862072</v>
          </cell>
          <cell r="J165">
            <v>0.99586206896551721</v>
          </cell>
          <cell r="K165">
            <v>1.0010344827586208</v>
          </cell>
          <cell r="L165">
            <v>1.0061609195402299</v>
          </cell>
          <cell r="M165">
            <v>1.0101839080459769</v>
          </cell>
          <cell r="N165">
            <v>1.0140344827586205</v>
          </cell>
          <cell r="O165">
            <v>1.0174827586206896</v>
          </cell>
          <cell r="P165">
            <v>1.024862068965517</v>
          </cell>
          <cell r="Q165">
            <v>1.0296896551724137</v>
          </cell>
          <cell r="R165">
            <v>1.0331379310344826</v>
          </cell>
          <cell r="S165">
            <v>1.0365862068965517</v>
          </cell>
        </row>
        <row r="175">
          <cell r="C175">
            <v>0.97325641025641019</v>
          </cell>
          <cell r="D175">
            <v>0.9766752136752137</v>
          </cell>
          <cell r="E175">
            <v>0.98009401709401711</v>
          </cell>
          <cell r="F175">
            <v>0.98351282051282052</v>
          </cell>
          <cell r="G175">
            <v>0.98693162393162392</v>
          </cell>
          <cell r="H175">
            <v>0.98951282051282041</v>
          </cell>
          <cell r="I175">
            <v>0.99276923076923074</v>
          </cell>
          <cell r="J175">
            <v>0.99564102564102563</v>
          </cell>
          <cell r="K175">
            <v>1.0007692307692309</v>
          </cell>
          <cell r="L175">
            <v>1.005897435897436</v>
          </cell>
          <cell r="M175">
            <v>1.0099088319088318</v>
          </cell>
          <cell r="N175">
            <v>1.0137692307692305</v>
          </cell>
          <cell r="O175">
            <v>1.0171880341880342</v>
          </cell>
          <cell r="P175">
            <v>1.0246410256410254</v>
          </cell>
          <cell r="Q175">
            <v>1.0295128205128203</v>
          </cell>
          <cell r="R175">
            <v>1.0329316239316237</v>
          </cell>
          <cell r="S175">
            <v>1.0363504273504274</v>
          </cell>
        </row>
        <row r="185">
          <cell r="C185">
            <v>0.97316949152542376</v>
          </cell>
          <cell r="D185">
            <v>0.97655932203389828</v>
          </cell>
          <cell r="E185">
            <v>0.97994915254237291</v>
          </cell>
          <cell r="F185">
            <v>0.98333898305084744</v>
          </cell>
          <cell r="G185">
            <v>0.98672881355932207</v>
          </cell>
          <cell r="H185">
            <v>0.98933898305084733</v>
          </cell>
          <cell r="I185">
            <v>0.99250847457627123</v>
          </cell>
          <cell r="J185">
            <v>0.99542372881355934</v>
          </cell>
          <cell r="K185">
            <v>1.0005084745762713</v>
          </cell>
          <cell r="L185">
            <v>1.0055932203389832</v>
          </cell>
          <cell r="M185">
            <v>1.009638418079096</v>
          </cell>
          <cell r="N185">
            <v>1.013508474576271</v>
          </cell>
          <cell r="O185">
            <v>1.0168983050847458</v>
          </cell>
          <cell r="P185">
            <v>1.0244237288135591</v>
          </cell>
          <cell r="Q185">
            <v>1.0293389830508475</v>
          </cell>
          <cell r="R185">
            <v>1.032728813559322</v>
          </cell>
          <cell r="S185">
            <v>1.0361186440677965</v>
          </cell>
        </row>
        <row r="195">
          <cell r="C195">
            <v>0.97308403361344531</v>
          </cell>
          <cell r="D195">
            <v>0.97644537815126053</v>
          </cell>
          <cell r="E195">
            <v>0.97980672268907565</v>
          </cell>
          <cell r="F195">
            <v>0.98316806722689076</v>
          </cell>
          <cell r="G195">
            <v>0.98652941176470588</v>
          </cell>
          <cell r="H195">
            <v>0.98916806722689066</v>
          </cell>
          <cell r="I195">
            <v>0.9922521008403361</v>
          </cell>
          <cell r="J195">
            <v>0.99521008403361344</v>
          </cell>
          <cell r="K195">
            <v>1.0002521008403362</v>
          </cell>
          <cell r="L195">
            <v>1.0052941176470589</v>
          </cell>
          <cell r="M195">
            <v>1.0093725490196077</v>
          </cell>
          <cell r="N195">
            <v>1.0132521008403359</v>
          </cell>
          <cell r="O195">
            <v>1.0166134453781512</v>
          </cell>
          <cell r="P195">
            <v>1.0242100840336132</v>
          </cell>
          <cell r="Q195">
            <v>1.0291680672268906</v>
          </cell>
          <cell r="R195">
            <v>1.0325294117647057</v>
          </cell>
          <cell r="S195">
            <v>1.035890756302521</v>
          </cell>
        </row>
        <row r="205">
          <cell r="C205">
            <v>0.97299999999999998</v>
          </cell>
          <cell r="D205">
            <v>0.97633333333333328</v>
          </cell>
          <cell r="E205">
            <v>0.97966666666666669</v>
          </cell>
          <cell r="F205">
            <v>0.98299999999999998</v>
          </cell>
          <cell r="G205">
            <v>0.98633333333333328</v>
          </cell>
          <cell r="H205">
            <v>0.98899999999999988</v>
          </cell>
          <cell r="I205">
            <v>0.99199999999999999</v>
          </cell>
          <cell r="J205">
            <v>0.995</v>
          </cell>
          <cell r="K205">
            <v>1</v>
          </cell>
          <cell r="L205">
            <v>1.0050000000000001</v>
          </cell>
          <cell r="M205">
            <v>1.0091111111111111</v>
          </cell>
          <cell r="N205">
            <v>1.0129999999999999</v>
          </cell>
          <cell r="O205">
            <v>1.0163333333333333</v>
          </cell>
          <cell r="P205">
            <v>1.0239999999999998</v>
          </cell>
          <cell r="Q205">
            <v>1.0289999999999999</v>
          </cell>
          <cell r="R205">
            <v>1.0323333333333333</v>
          </cell>
          <cell r="S205">
            <v>1.0356666666666665</v>
          </cell>
        </row>
        <row r="215">
          <cell r="C215">
            <v>0.97291735537190083</v>
          </cell>
          <cell r="D215">
            <v>0.97622314049586778</v>
          </cell>
          <cell r="E215">
            <v>0.97952892561983473</v>
          </cell>
          <cell r="F215">
            <v>0.98283471074380169</v>
          </cell>
          <cell r="G215">
            <v>0.98614049586776864</v>
          </cell>
          <cell r="H215">
            <v>0.98883471074380158</v>
          </cell>
          <cell r="I215">
            <v>0.99175206611570244</v>
          </cell>
          <cell r="J215">
            <v>0.99479338842975207</v>
          </cell>
          <cell r="K215">
            <v>0.99975206611570244</v>
          </cell>
          <cell r="L215">
            <v>1.0047107438016529</v>
          </cell>
          <cell r="M215">
            <v>1.0088539944903581</v>
          </cell>
          <cell r="N215">
            <v>1.0127107438016527</v>
          </cell>
          <cell r="O215">
            <v>1.0160578512396694</v>
          </cell>
          <cell r="P215">
            <v>1.0237933884297519</v>
          </cell>
          <cell r="Q215">
            <v>1.0287520661157024</v>
          </cell>
          <cell r="R215">
            <v>1.0321404958677685</v>
          </cell>
          <cell r="S215">
            <v>1.0354462809917355</v>
          </cell>
        </row>
        <row r="225">
          <cell r="C225">
            <v>0.97283606557377045</v>
          </cell>
          <cell r="D225">
            <v>0.97611475409836068</v>
          </cell>
          <cell r="E225">
            <v>0.97939344262295081</v>
          </cell>
          <cell r="F225">
            <v>0.98267213114754093</v>
          </cell>
          <cell r="G225">
            <v>0.98595081967213116</v>
          </cell>
          <cell r="H225">
            <v>0.98867213114754082</v>
          </cell>
          <cell r="I225">
            <v>0.99150819672131152</v>
          </cell>
          <cell r="J225">
            <v>0.99459016393442623</v>
          </cell>
          <cell r="K225">
            <v>0.99950819672131153</v>
          </cell>
          <cell r="L225">
            <v>1.0044262295081969</v>
          </cell>
          <cell r="M225">
            <v>1.0086010928961748</v>
          </cell>
          <cell r="N225">
            <v>1.0124262295081965</v>
          </cell>
          <cell r="O225">
            <v>1.0157868852459015</v>
          </cell>
          <cell r="P225">
            <v>1.023590163934426</v>
          </cell>
          <cell r="Q225">
            <v>1.0285081967213112</v>
          </cell>
          <cell r="R225">
            <v>1.031950819672131</v>
          </cell>
          <cell r="S225">
            <v>1.0352295081967213</v>
          </cell>
        </row>
        <row r="235">
          <cell r="C235">
            <v>0.97275609756097559</v>
          </cell>
          <cell r="D235">
            <v>0.97600813008130083</v>
          </cell>
          <cell r="E235">
            <v>0.97926016260162596</v>
          </cell>
          <cell r="F235">
            <v>0.9825121951219512</v>
          </cell>
          <cell r="G235">
            <v>0.98576422764227645</v>
          </cell>
          <cell r="H235">
            <v>0.9885121951219511</v>
          </cell>
          <cell r="I235">
            <v>0.99126829268292682</v>
          </cell>
          <cell r="J235">
            <v>0.99439024390243902</v>
          </cell>
          <cell r="K235">
            <v>0.99926829268292683</v>
          </cell>
          <cell r="L235">
            <v>1.0041463414634149</v>
          </cell>
          <cell r="M235">
            <v>1.0083523035230353</v>
          </cell>
          <cell r="N235">
            <v>1.0121463414634144</v>
          </cell>
          <cell r="O235">
            <v>1.0155203252032519</v>
          </cell>
          <cell r="P235">
            <v>1.0233902439024387</v>
          </cell>
          <cell r="Q235">
            <v>1.0282682926829265</v>
          </cell>
          <cell r="R235">
            <v>1.0317642276422763</v>
          </cell>
          <cell r="S235">
            <v>1.0350162601626016</v>
          </cell>
        </row>
        <row r="245">
          <cell r="C245">
            <v>0.97267741935483865</v>
          </cell>
          <cell r="D245">
            <v>0.97590322580645161</v>
          </cell>
          <cell r="E245">
            <v>0.97912903225806447</v>
          </cell>
          <cell r="F245">
            <v>0.98235483870967744</v>
          </cell>
          <cell r="G245">
            <v>0.98558064516129029</v>
          </cell>
          <cell r="H245">
            <v>0.98835483870967733</v>
          </cell>
          <cell r="I245">
            <v>0.99103225806451611</v>
          </cell>
          <cell r="J245">
            <v>0.99419354838709673</v>
          </cell>
          <cell r="K245">
            <v>0.99903225806451612</v>
          </cell>
          <cell r="L245">
            <v>1.0038709677419355</v>
          </cell>
          <cell r="M245">
            <v>1.0081075268817203</v>
          </cell>
          <cell r="N245">
            <v>1.0118709677419353</v>
          </cell>
          <cell r="O245">
            <v>1.0152580645161289</v>
          </cell>
          <cell r="P245">
            <v>1.0231935483870966</v>
          </cell>
          <cell r="Q245">
            <v>1.028032258064516</v>
          </cell>
          <cell r="R245">
            <v>1.0315806451612903</v>
          </cell>
          <cell r="S245">
            <v>1.0348064516129032</v>
          </cell>
        </row>
        <row r="255">
          <cell r="C255">
            <v>0.97260000000000002</v>
          </cell>
          <cell r="D255">
            <v>0.9758</v>
          </cell>
          <cell r="E255">
            <v>0.97899999999999998</v>
          </cell>
          <cell r="F255">
            <v>0.98219999999999996</v>
          </cell>
          <cell r="G255">
            <v>0.98539999999999994</v>
          </cell>
          <cell r="H255">
            <v>0.98819999999999986</v>
          </cell>
          <cell r="I255">
            <v>0.99080000000000001</v>
          </cell>
          <cell r="J255">
            <v>0.99399999999999999</v>
          </cell>
          <cell r="K255">
            <v>0.99880000000000002</v>
          </cell>
          <cell r="L255">
            <v>1.0036</v>
          </cell>
          <cell r="M255">
            <v>1.0078666666666667</v>
          </cell>
          <cell r="N255">
            <v>1.0115999999999998</v>
          </cell>
          <cell r="O255">
            <v>1.0149999999999999</v>
          </cell>
          <cell r="P255">
            <v>1.0229999999999997</v>
          </cell>
          <cell r="Q255">
            <v>1.0277999999999998</v>
          </cell>
          <cell r="R255">
            <v>1.0313999999999999</v>
          </cell>
          <cell r="S255">
            <v>1.0346</v>
          </cell>
        </row>
        <row r="265">
          <cell r="C265">
            <v>0.97252380952380946</v>
          </cell>
          <cell r="D265">
            <v>0.97569841269841273</v>
          </cell>
          <cell r="E265">
            <v>0.97887301587301589</v>
          </cell>
          <cell r="F265">
            <v>0.98204761904761906</v>
          </cell>
          <cell r="G265">
            <v>0.98522222222222222</v>
          </cell>
          <cell r="H265">
            <v>0.98804761904761895</v>
          </cell>
          <cell r="I265">
            <v>0.99057142857142855</v>
          </cell>
          <cell r="J265">
            <v>0.99374603174603171</v>
          </cell>
          <cell r="K265">
            <v>0.99857142857142855</v>
          </cell>
          <cell r="L265">
            <v>1.0033333333333334</v>
          </cell>
          <cell r="M265">
            <v>1.0076296296296297</v>
          </cell>
          <cell r="N265">
            <v>1.0113333333333332</v>
          </cell>
          <cell r="O265">
            <v>1.0147460317460315</v>
          </cell>
          <cell r="P265">
            <v>1.0226825396825396</v>
          </cell>
          <cell r="Q265">
            <v>1.0275714285714284</v>
          </cell>
          <cell r="R265">
            <v>1.031222222222222</v>
          </cell>
          <cell r="S265">
            <v>1.0343968253968252</v>
          </cell>
        </row>
        <row r="275">
          <cell r="C275">
            <v>0.97244881889763779</v>
          </cell>
          <cell r="D275">
            <v>0.97559842519685036</v>
          </cell>
          <cell r="E275">
            <v>0.97874803149606293</v>
          </cell>
          <cell r="F275">
            <v>0.98189763779527561</v>
          </cell>
          <cell r="G275">
            <v>0.98504724409448818</v>
          </cell>
          <cell r="H275">
            <v>0.98789763779527551</v>
          </cell>
          <cell r="I275">
            <v>0.99034645669291343</v>
          </cell>
          <cell r="J275">
            <v>0.99349606299212601</v>
          </cell>
          <cell r="K275">
            <v>0.99834645669291344</v>
          </cell>
          <cell r="L275">
            <v>1.0030708661417325</v>
          </cell>
          <cell r="M275">
            <v>1.0073963254593177</v>
          </cell>
          <cell r="N275">
            <v>1.011070866141732</v>
          </cell>
          <cell r="O275">
            <v>1.0144960629921258</v>
          </cell>
          <cell r="P275">
            <v>1.0223700787401573</v>
          </cell>
          <cell r="Q275">
            <v>1.0273464566929131</v>
          </cell>
          <cell r="R275">
            <v>1.031047244094488</v>
          </cell>
          <cell r="S275">
            <v>1.0341968503937007</v>
          </cell>
        </row>
        <row r="285">
          <cell r="C285">
            <v>0.97237499999999999</v>
          </cell>
          <cell r="D285">
            <v>0.97550000000000003</v>
          </cell>
          <cell r="E285">
            <v>0.97862499999999997</v>
          </cell>
          <cell r="F285">
            <v>0.98175000000000001</v>
          </cell>
          <cell r="G285">
            <v>0.98487499999999994</v>
          </cell>
          <cell r="H285">
            <v>0.98774999999999991</v>
          </cell>
          <cell r="I285">
            <v>0.99012500000000003</v>
          </cell>
          <cell r="J285">
            <v>0.99324999999999997</v>
          </cell>
          <cell r="K285">
            <v>0.99812500000000004</v>
          </cell>
          <cell r="L285">
            <v>1.0028125000000001</v>
          </cell>
          <cell r="M285">
            <v>1.0071666666666665</v>
          </cell>
          <cell r="N285">
            <v>1.0108124999999999</v>
          </cell>
          <cell r="O285">
            <v>1.0142499999999999</v>
          </cell>
          <cell r="P285">
            <v>1.0220624999999999</v>
          </cell>
          <cell r="Q285">
            <v>1.0271249999999998</v>
          </cell>
          <cell r="R285">
            <v>1.030875</v>
          </cell>
          <cell r="S285">
            <v>1.0339999999999998</v>
          </cell>
        </row>
        <row r="295">
          <cell r="C295">
            <v>0.97230232558139529</v>
          </cell>
          <cell r="D295">
            <v>0.97540310077519377</v>
          </cell>
          <cell r="E295">
            <v>0.97850387596899224</v>
          </cell>
          <cell r="F295">
            <v>0.98160465116279072</v>
          </cell>
          <cell r="G295">
            <v>0.98470542635658909</v>
          </cell>
          <cell r="H295">
            <v>0.98760465116279061</v>
          </cell>
          <cell r="I295">
            <v>0.98993023255813939</v>
          </cell>
          <cell r="J295">
            <v>0.99300775193798452</v>
          </cell>
          <cell r="K295">
            <v>0.99790697674418605</v>
          </cell>
          <cell r="L295">
            <v>1.0025581395348839</v>
          </cell>
          <cell r="M295">
            <v>1.0069405684754522</v>
          </cell>
          <cell r="N295">
            <v>1.0105581395348837</v>
          </cell>
          <cell r="O295">
            <v>1.0140077519379842</v>
          </cell>
          <cell r="P295">
            <v>1.0217596899224806</v>
          </cell>
          <cell r="Q295">
            <v>1.0269069767441859</v>
          </cell>
          <cell r="R295">
            <v>1.0307054263565891</v>
          </cell>
          <cell r="S295">
            <v>1.0338062015503875</v>
          </cell>
        </row>
        <row r="305">
          <cell r="C305">
            <v>0.97223076923076923</v>
          </cell>
          <cell r="D305">
            <v>0.97530769230769232</v>
          </cell>
          <cell r="E305">
            <v>0.97838461538461541</v>
          </cell>
          <cell r="F305">
            <v>0.9814615384615385</v>
          </cell>
          <cell r="G305">
            <v>0.98453846153846147</v>
          </cell>
          <cell r="H305">
            <v>0.98746153846153839</v>
          </cell>
          <cell r="I305">
            <v>0.98976923076923062</v>
          </cell>
          <cell r="J305">
            <v>0.99276923076923074</v>
          </cell>
          <cell r="K305">
            <v>0.99769230769230766</v>
          </cell>
          <cell r="L305">
            <v>1.0023076923076923</v>
          </cell>
          <cell r="M305">
            <v>1.0067179487179487</v>
          </cell>
          <cell r="N305">
            <v>1.0103076923076924</v>
          </cell>
          <cell r="O305">
            <v>1.0137692307692305</v>
          </cell>
          <cell r="P305">
            <v>1.0214615384615384</v>
          </cell>
          <cell r="Q305">
            <v>1.0266923076923076</v>
          </cell>
          <cell r="R305">
            <v>1.0305384615384614</v>
          </cell>
          <cell r="S305">
            <v>1.0336153846153846</v>
          </cell>
        </row>
        <row r="315">
          <cell r="C315">
            <v>0.97216030534351139</v>
          </cell>
          <cell r="D315">
            <v>0.97521374045801523</v>
          </cell>
          <cell r="E315">
            <v>0.97826717557251908</v>
          </cell>
          <cell r="F315">
            <v>0.98132061068702292</v>
          </cell>
          <cell r="G315">
            <v>0.98437404580152665</v>
          </cell>
          <cell r="H315">
            <v>0.98732061068702281</v>
          </cell>
          <cell r="I315">
            <v>0.98961068702290067</v>
          </cell>
          <cell r="J315">
            <v>0.99253435114503819</v>
          </cell>
          <cell r="K315">
            <v>0.99748091603053435</v>
          </cell>
          <cell r="L315">
            <v>1.0020610687022902</v>
          </cell>
          <cell r="M315">
            <v>1.006498727735369</v>
          </cell>
          <cell r="N315">
            <v>1.01006106870229</v>
          </cell>
          <cell r="O315">
            <v>1.0135343511450379</v>
          </cell>
          <cell r="P315">
            <v>1.0211679389312975</v>
          </cell>
          <cell r="Q315">
            <v>1.0264809160305342</v>
          </cell>
          <cell r="R315">
            <v>1.0303740458015267</v>
          </cell>
          <cell r="S315">
            <v>1.0334274809160304</v>
          </cell>
        </row>
        <row r="325">
          <cell r="C325">
            <v>0.97209090909090912</v>
          </cell>
          <cell r="D325">
            <v>0.97512121212121206</v>
          </cell>
          <cell r="E325">
            <v>0.97815151515151511</v>
          </cell>
          <cell r="F325">
            <v>0.98118181818181816</v>
          </cell>
          <cell r="G325">
            <v>0.9842121212121212</v>
          </cell>
          <cell r="H325">
            <v>0.98718181818181805</v>
          </cell>
          <cell r="I325">
            <v>0.98945454545454536</v>
          </cell>
          <cell r="J325">
            <v>0.99230303030303024</v>
          </cell>
          <cell r="K325">
            <v>0.99727272727272731</v>
          </cell>
          <cell r="L325">
            <v>1.0018181818181819</v>
          </cell>
          <cell r="M325">
            <v>1.0062828282828282</v>
          </cell>
          <cell r="N325">
            <v>1.0098181818181817</v>
          </cell>
          <cell r="O325">
            <v>1.0133030303030301</v>
          </cell>
          <cell r="P325">
            <v>1.0208787878787877</v>
          </cell>
          <cell r="Q325">
            <v>1.026272727272727</v>
          </cell>
          <cell r="R325">
            <v>1.0302121212121211</v>
          </cell>
          <cell r="S325">
            <v>1.0332424242424241</v>
          </cell>
        </row>
        <row r="335">
          <cell r="C335">
            <v>0.97202255639097745</v>
          </cell>
          <cell r="D335">
            <v>0.97503007518796991</v>
          </cell>
          <cell r="E335">
            <v>0.97803759398496237</v>
          </cell>
          <cell r="F335">
            <v>0.98104511278195483</v>
          </cell>
          <cell r="G335">
            <v>0.9840526315789474</v>
          </cell>
          <cell r="H335">
            <v>0.98704511278195473</v>
          </cell>
          <cell r="I335">
            <v>0.98930075187969913</v>
          </cell>
          <cell r="J335">
            <v>0.99207518796992478</v>
          </cell>
          <cell r="K335">
            <v>0.99706766917293232</v>
          </cell>
          <cell r="L335">
            <v>1.0015789473684211</v>
          </cell>
          <cell r="M335">
            <v>1.0060701754385966</v>
          </cell>
          <cell r="N335">
            <v>1.0095789473684209</v>
          </cell>
          <cell r="O335">
            <v>1.0130751879699247</v>
          </cell>
          <cell r="P335">
            <v>1.0205939849624059</v>
          </cell>
          <cell r="Q335">
            <v>1.026067669172932</v>
          </cell>
          <cell r="R335">
            <v>1.0300526315789473</v>
          </cell>
          <cell r="S335">
            <v>1.0330601503759398</v>
          </cell>
        </row>
        <row r="345">
          <cell r="C345">
            <v>0.97195522388059696</v>
          </cell>
          <cell r="D345">
            <v>0.97494029850746267</v>
          </cell>
          <cell r="E345">
            <v>0.97792537313432837</v>
          </cell>
          <cell r="F345">
            <v>0.98091044776119396</v>
          </cell>
          <cell r="G345">
            <v>0.98389552238805966</v>
          </cell>
          <cell r="H345">
            <v>0.98688059701492536</v>
          </cell>
          <cell r="I345">
            <v>0.9891492537313431</v>
          </cell>
          <cell r="J345">
            <v>0.99185074626865666</v>
          </cell>
          <cell r="K345">
            <v>0.99686567164179096</v>
          </cell>
          <cell r="L345">
            <v>1.0013432835820897</v>
          </cell>
          <cell r="M345">
            <v>1.0058208955223882</v>
          </cell>
          <cell r="N345">
            <v>1.0093432835820895</v>
          </cell>
          <cell r="O345">
            <v>1.0128258706467659</v>
          </cell>
          <cell r="P345">
            <v>1.0203134328358208</v>
          </cell>
          <cell r="Q345">
            <v>1.0258656716417909</v>
          </cell>
          <cell r="R345">
            <v>1.0298955223880597</v>
          </cell>
          <cell r="S345">
            <v>1.0328805970149253</v>
          </cell>
        </row>
        <row r="355">
          <cell r="C355">
            <v>0.9718888888888888</v>
          </cell>
          <cell r="D355">
            <v>0.97485185185185186</v>
          </cell>
          <cell r="E355">
            <v>0.9778148148148148</v>
          </cell>
          <cell r="F355">
            <v>0.98077777777777775</v>
          </cell>
          <cell r="G355">
            <v>0.98374074074074069</v>
          </cell>
          <cell r="H355">
            <v>0.98670370370370364</v>
          </cell>
          <cell r="I355">
            <v>0.98899999999999988</v>
          </cell>
          <cell r="J355">
            <v>0.99162962962962964</v>
          </cell>
          <cell r="K355">
            <v>0.99666666666666659</v>
          </cell>
          <cell r="L355">
            <v>1.0011111111111113</v>
          </cell>
          <cell r="M355">
            <v>1.0055555555555555</v>
          </cell>
          <cell r="N355">
            <v>1.0091111111111111</v>
          </cell>
          <cell r="O355">
            <v>1.0125679012345676</v>
          </cell>
          <cell r="P355">
            <v>1.0200370370370369</v>
          </cell>
          <cell r="Q355">
            <v>1.0256666666666665</v>
          </cell>
          <cell r="R355">
            <v>1.0297407407407406</v>
          </cell>
          <cell r="S355">
            <v>1.0327037037037037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54"/>
  <sheetViews>
    <sheetView workbookViewId="0">
      <selection activeCell="B4" sqref="B4:O4"/>
    </sheetView>
  </sheetViews>
  <sheetFormatPr defaultRowHeight="15" x14ac:dyDescent="0.25"/>
  <cols>
    <col min="2" max="2" width="13.28515625" customWidth="1"/>
    <col min="3" max="3" width="13.85546875" customWidth="1"/>
    <col min="4" max="4" width="13.28515625" customWidth="1"/>
    <col min="5" max="6" width="13" customWidth="1"/>
    <col min="7" max="7" width="13.7109375" customWidth="1"/>
    <col min="8" max="8" width="13.5703125" customWidth="1"/>
    <col min="9" max="9" width="17" customWidth="1"/>
    <col min="10" max="10" width="17.7109375" customWidth="1"/>
    <col min="11" max="11" width="13.42578125" customWidth="1"/>
    <col min="12" max="12" width="15.42578125" customWidth="1"/>
    <col min="13" max="13" width="13.7109375" customWidth="1"/>
    <col min="14" max="14" width="14" customWidth="1"/>
    <col min="15" max="15" width="15.85546875" customWidth="1"/>
  </cols>
  <sheetData>
    <row r="1" spans="1:15" x14ac:dyDescent="0.25">
      <c r="A1" s="25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</row>
    <row r="2" spans="1:15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</row>
    <row r="3" spans="1:15" x14ac:dyDescent="0.25">
      <c r="A3" s="2" t="s">
        <v>15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2">
        <v>0</v>
      </c>
      <c r="B4" s="27">
        <v>67.880364109232758</v>
      </c>
      <c r="C4" s="27">
        <v>44.78895779155831</v>
      </c>
      <c r="D4" s="27">
        <v>45.348139255702286</v>
      </c>
      <c r="E4" s="27">
        <v>46.56396919075722</v>
      </c>
      <c r="F4" s="27">
        <v>47.309461892378472</v>
      </c>
      <c r="G4" s="27">
        <v>48.739747949589912</v>
      </c>
      <c r="H4" s="27">
        <v>49.034903490349045</v>
      </c>
      <c r="I4" s="27">
        <v>50.835083508350841</v>
      </c>
      <c r="J4" s="27">
        <v>51.9</v>
      </c>
      <c r="K4" s="27">
        <v>54.620924184836966</v>
      </c>
      <c r="L4" s="27">
        <v>58.627588276482939</v>
      </c>
      <c r="M4" s="27">
        <v>62.266226622662273</v>
      </c>
      <c r="N4" s="27">
        <v>65.313062612522501</v>
      </c>
      <c r="O4" s="27">
        <v>69.286928692869296</v>
      </c>
    </row>
    <row r="5" spans="1:15" x14ac:dyDescent="0.25">
      <c r="A5" s="2">
        <v>1</v>
      </c>
      <c r="B5" s="27">
        <v>67.970391117335197</v>
      </c>
      <c r="C5" s="27">
        <v>50.380076015203038</v>
      </c>
      <c r="D5" s="27">
        <v>50.720288115246106</v>
      </c>
      <c r="E5" s="27">
        <v>52.025607682304688</v>
      </c>
      <c r="F5" s="27">
        <v>52.780556111222246</v>
      </c>
      <c r="G5" s="27">
        <v>54.240848169633921</v>
      </c>
      <c r="H5" s="27">
        <v>54.415441544154419</v>
      </c>
      <c r="I5" s="27">
        <v>56.305630563056312</v>
      </c>
      <c r="J5" s="27">
        <v>56.82</v>
      </c>
      <c r="K5" s="27">
        <v>59.541908381676336</v>
      </c>
      <c r="L5" s="27">
        <v>63.399019705911769</v>
      </c>
      <c r="M5" s="27">
        <v>66.866686668666873</v>
      </c>
      <c r="N5" s="27">
        <v>69.833966793358655</v>
      </c>
      <c r="O5" s="27">
        <v>73.517351735173534</v>
      </c>
    </row>
    <row r="6" spans="1:15" x14ac:dyDescent="0.25">
      <c r="A6" s="2">
        <v>2</v>
      </c>
      <c r="B6" s="27">
        <v>69.300790237071112</v>
      </c>
      <c r="C6" s="27">
        <v>58.641728345669137</v>
      </c>
      <c r="D6" s="27">
        <v>58.663465386154471</v>
      </c>
      <c r="E6" s="27">
        <v>60.268080424127234</v>
      </c>
      <c r="F6" s="27">
        <v>60.932186437287456</v>
      </c>
      <c r="G6" s="27">
        <v>61.812362472494492</v>
      </c>
      <c r="H6" s="27">
        <v>62.416241624162424</v>
      </c>
      <c r="I6" s="27">
        <v>64.086408640864093</v>
      </c>
      <c r="J6" s="27">
        <v>64.099999999999994</v>
      </c>
      <c r="K6" s="27">
        <v>66.653330666133229</v>
      </c>
      <c r="L6" s="27">
        <v>70.141042312693813</v>
      </c>
      <c r="M6" s="27">
        <v>73.247324732473245</v>
      </c>
      <c r="N6" s="27">
        <v>75.845169033806755</v>
      </c>
      <c r="O6" s="27">
        <v>79.087908790879098</v>
      </c>
    </row>
    <row r="7" spans="1:15" x14ac:dyDescent="0.25">
      <c r="A7" s="2">
        <v>3</v>
      </c>
      <c r="B7" s="27">
        <v>72.4517355206562</v>
      </c>
      <c r="C7" s="27">
        <v>68.223644728945786</v>
      </c>
      <c r="D7" s="27">
        <v>67.937174869947981</v>
      </c>
      <c r="E7" s="27">
        <v>69.610883264979492</v>
      </c>
      <c r="F7" s="27">
        <v>70.194038807761558</v>
      </c>
      <c r="G7" s="27">
        <v>70.32406481296259</v>
      </c>
      <c r="H7" s="27">
        <v>71.447144714471449</v>
      </c>
      <c r="I7" s="27">
        <v>72.797279727972807</v>
      </c>
      <c r="J7" s="27">
        <v>72.52</v>
      </c>
      <c r="K7" s="27">
        <v>74.724944988997791</v>
      </c>
      <c r="L7" s="27">
        <v>77.653295988796629</v>
      </c>
      <c r="M7" s="27">
        <v>80.198019801980209</v>
      </c>
      <c r="N7" s="27">
        <v>82.286457291458291</v>
      </c>
      <c r="O7" s="27">
        <v>84.818481848184831</v>
      </c>
    </row>
    <row r="8" spans="1:15" x14ac:dyDescent="0.25">
      <c r="A8" s="2">
        <v>4</v>
      </c>
      <c r="B8" s="27">
        <v>77.243172951885555</v>
      </c>
      <c r="C8" s="27">
        <v>76.79535907181436</v>
      </c>
      <c r="D8" s="27">
        <v>76.420568227290929</v>
      </c>
      <c r="E8" s="27">
        <v>77.773331999599876</v>
      </c>
      <c r="F8" s="27">
        <v>78.275655131026213</v>
      </c>
      <c r="G8" s="27">
        <v>78.115623124624918</v>
      </c>
      <c r="H8" s="27">
        <v>79.26792679267929</v>
      </c>
      <c r="I8" s="27">
        <v>80.368036803680383</v>
      </c>
      <c r="J8" s="27">
        <v>80.06</v>
      </c>
      <c r="K8" s="27">
        <v>81.846369273854762</v>
      </c>
      <c r="L8" s="27">
        <v>84.145243573071923</v>
      </c>
      <c r="M8" s="27">
        <v>86.128612861286143</v>
      </c>
      <c r="N8" s="27">
        <v>87.727545509101816</v>
      </c>
      <c r="O8" s="27">
        <v>89.548954895489572</v>
      </c>
    </row>
    <row r="9" spans="1:15" x14ac:dyDescent="0.25">
      <c r="A9" s="2">
        <v>5</v>
      </c>
      <c r="B9" s="27">
        <v>82.784835450635185</v>
      </c>
      <c r="C9" s="27">
        <v>83.306661332266458</v>
      </c>
      <c r="D9" s="27">
        <v>82.973189275710297</v>
      </c>
      <c r="E9" s="27">
        <v>83.975192557767329</v>
      </c>
      <c r="F9" s="27">
        <v>84.396879375875173</v>
      </c>
      <c r="G9" s="27">
        <v>84.27685537107422</v>
      </c>
      <c r="H9" s="27">
        <v>85.138513851385142</v>
      </c>
      <c r="I9" s="27">
        <v>86.048604860486066</v>
      </c>
      <c r="J9" s="27">
        <v>85.87</v>
      </c>
      <c r="K9" s="27">
        <v>87.207441488297647</v>
      </c>
      <c r="L9" s="27">
        <v>89.006702010603178</v>
      </c>
      <c r="M9" s="27">
        <v>90.529052905290541</v>
      </c>
      <c r="N9" s="27">
        <v>91.738347669533908</v>
      </c>
      <c r="O9" s="27">
        <v>92.98929892989301</v>
      </c>
    </row>
    <row r="10" spans="1:15" x14ac:dyDescent="0.25">
      <c r="A10" s="2">
        <v>6</v>
      </c>
      <c r="B10" s="27">
        <v>87.726317895368609</v>
      </c>
      <c r="C10" s="27">
        <v>88.137627525505096</v>
      </c>
      <c r="D10" s="27">
        <v>87.805122048819541</v>
      </c>
      <c r="E10" s="27">
        <v>88.546563969190743</v>
      </c>
      <c r="F10" s="27">
        <v>88.957791558311655</v>
      </c>
      <c r="G10" s="27">
        <v>88.857771554310858</v>
      </c>
      <c r="H10" s="27">
        <v>89.478947894789485</v>
      </c>
      <c r="I10" s="27">
        <v>90.219021902190221</v>
      </c>
      <c r="J10" s="27">
        <v>90.14</v>
      </c>
      <c r="K10" s="27">
        <v>91.118223644728943</v>
      </c>
      <c r="L10" s="27">
        <v>92.537761328398517</v>
      </c>
      <c r="M10" s="27">
        <v>93.649364936493669</v>
      </c>
      <c r="N10" s="27">
        <v>94.568913782756539</v>
      </c>
      <c r="O10" s="27">
        <v>95.409540954095434</v>
      </c>
    </row>
    <row r="11" spans="1:15" x14ac:dyDescent="0.25">
      <c r="A11" s="2">
        <v>7</v>
      </c>
      <c r="B11" s="27">
        <v>91.47744323296989</v>
      </c>
      <c r="C11" s="27">
        <v>91.7883576715343</v>
      </c>
      <c r="D11" s="27">
        <v>91.466586634653879</v>
      </c>
      <c r="E11" s="27">
        <v>91.997599279783927</v>
      </c>
      <c r="F11" s="27">
        <v>92.358471694338874</v>
      </c>
      <c r="G11" s="27">
        <v>92.278455691138234</v>
      </c>
      <c r="H11" s="27">
        <v>92.709270927092732</v>
      </c>
      <c r="I11" s="27">
        <v>93.299329932993317</v>
      </c>
      <c r="J11" s="27">
        <v>93.27</v>
      </c>
      <c r="K11" s="27">
        <v>93.9887977595519</v>
      </c>
      <c r="L11" s="27">
        <v>95.078523557067115</v>
      </c>
      <c r="M11" s="27">
        <v>95.879587958795895</v>
      </c>
      <c r="N11" s="27">
        <v>96.529305861172233</v>
      </c>
      <c r="O11" s="27">
        <v>97.129712971297153</v>
      </c>
    </row>
    <row r="12" spans="1:15" x14ac:dyDescent="0.25">
      <c r="A12" s="2">
        <v>8</v>
      </c>
      <c r="B12" s="27">
        <v>94.28828648594579</v>
      </c>
      <c r="C12" s="27">
        <v>94.468893778755756</v>
      </c>
      <c r="D12" s="27">
        <v>94.207683073229305</v>
      </c>
      <c r="E12" s="27">
        <v>94.568370511153347</v>
      </c>
      <c r="F12" s="27">
        <v>94.828965793158631</v>
      </c>
      <c r="G12" s="27">
        <v>94.808961792358474</v>
      </c>
      <c r="H12" s="27">
        <v>95.109510951095118</v>
      </c>
      <c r="I12" s="27">
        <v>95.549554955495566</v>
      </c>
      <c r="J12" s="27">
        <v>95.51</v>
      </c>
      <c r="K12" s="27">
        <v>96.069213842768548</v>
      </c>
      <c r="L12" s="27">
        <v>96.899069720916273</v>
      </c>
      <c r="M12" s="27">
        <v>97.42974297429744</v>
      </c>
      <c r="N12" s="27">
        <v>97.889577915583118</v>
      </c>
      <c r="O12" s="27">
        <v>98.309830983098323</v>
      </c>
    </row>
    <row r="13" spans="1:15" x14ac:dyDescent="0.25">
      <c r="A13" s="2">
        <v>9</v>
      </c>
      <c r="B13" s="27">
        <v>96.328898669600875</v>
      </c>
      <c r="C13" s="27">
        <v>96.439287857571514</v>
      </c>
      <c r="D13" s="27">
        <v>96.19847939175672</v>
      </c>
      <c r="E13" s="27">
        <v>96.47894368310493</v>
      </c>
      <c r="F13" s="27">
        <v>96.639327865573108</v>
      </c>
      <c r="G13" s="27">
        <v>96.679335867173421</v>
      </c>
      <c r="H13" s="27">
        <v>96.869686968696882</v>
      </c>
      <c r="I13" s="27">
        <v>97.169716971697184</v>
      </c>
      <c r="J13" s="27">
        <v>97.12</v>
      </c>
      <c r="K13" s="27">
        <v>97.579515903180635</v>
      </c>
      <c r="L13" s="27">
        <v>98.169450835250572</v>
      </c>
      <c r="M13" s="27">
        <v>98.489848984898501</v>
      </c>
      <c r="N13" s="27">
        <v>98.819763952790552</v>
      </c>
      <c r="O13" s="27">
        <v>99.069906990699081</v>
      </c>
    </row>
    <row r="14" spans="1:15" x14ac:dyDescent="0.25">
      <c r="A14" s="2">
        <v>10</v>
      </c>
      <c r="B14" s="27">
        <v>97.739321796538945</v>
      </c>
      <c r="C14" s="27">
        <v>97.859571914382869</v>
      </c>
      <c r="D14" s="27">
        <v>97.619047619047635</v>
      </c>
      <c r="E14" s="27">
        <v>97.859357807342192</v>
      </c>
      <c r="F14" s="27">
        <v>97.949589917983602</v>
      </c>
      <c r="G14" s="27">
        <v>97.999599919983993</v>
      </c>
      <c r="H14" s="27">
        <v>98.129812981298144</v>
      </c>
      <c r="I14" s="27">
        <v>98.329832983298331</v>
      </c>
      <c r="J14" s="27">
        <v>98.26</v>
      </c>
      <c r="K14" s="27">
        <v>98.619723944788944</v>
      </c>
      <c r="L14" s="27">
        <v>99.019705911773514</v>
      </c>
      <c r="M14" s="27">
        <v>99.209920992099228</v>
      </c>
      <c r="N14" s="27">
        <v>99.449889977995596</v>
      </c>
      <c r="O14" s="27">
        <v>99.579957995799589</v>
      </c>
    </row>
    <row r="15" spans="1:15" x14ac:dyDescent="0.25">
      <c r="A15" s="2">
        <v>11</v>
      </c>
      <c r="B15" s="27">
        <v>98.729618885665701</v>
      </c>
      <c r="C15" s="27">
        <v>98.789757951590303</v>
      </c>
      <c r="D15" s="27">
        <v>98.609443777511018</v>
      </c>
      <c r="E15" s="27">
        <v>98.819645893768126</v>
      </c>
      <c r="F15" s="27">
        <v>98.879775955191036</v>
      </c>
      <c r="G15" s="27">
        <v>98.909781956391271</v>
      </c>
      <c r="H15" s="27">
        <v>98.999899989999008</v>
      </c>
      <c r="I15" s="27">
        <v>99.099909990999123</v>
      </c>
      <c r="J15" s="27">
        <v>99.04</v>
      </c>
      <c r="K15" s="27">
        <v>99.31986397279455</v>
      </c>
      <c r="L15" s="27">
        <v>99.519855956787026</v>
      </c>
      <c r="M15" s="27">
        <v>99.659965996599681</v>
      </c>
      <c r="N15" s="27">
        <v>99.819963992798549</v>
      </c>
      <c r="O15" s="27">
        <v>99.869986998699886</v>
      </c>
    </row>
    <row r="16" spans="1:15" x14ac:dyDescent="0.25">
      <c r="A16" s="2">
        <v>12</v>
      </c>
      <c r="B16" s="27">
        <v>99.389816945083524</v>
      </c>
      <c r="C16" s="27">
        <v>99.389877975595113</v>
      </c>
      <c r="D16" s="27">
        <v>99.299719887955206</v>
      </c>
      <c r="E16" s="27">
        <v>99.439831949584871</v>
      </c>
      <c r="F16" s="27">
        <v>99.489897979595909</v>
      </c>
      <c r="G16" s="27">
        <v>99.509901980396066</v>
      </c>
      <c r="H16" s="27">
        <v>99.569956995699584</v>
      </c>
      <c r="I16" s="27">
        <v>99.589958995899607</v>
      </c>
      <c r="J16" s="27">
        <v>99.56</v>
      </c>
      <c r="K16" s="27">
        <v>99.72994598919783</v>
      </c>
      <c r="L16" s="27">
        <v>99.819945983795137</v>
      </c>
      <c r="M16" s="27">
        <v>99.919991999199937</v>
      </c>
      <c r="N16" s="27">
        <v>99.979995999199829</v>
      </c>
      <c r="O16" s="27">
        <v>100.00000000000001</v>
      </c>
    </row>
    <row r="17" spans="1:15" x14ac:dyDescent="0.25">
      <c r="A17" s="2">
        <v>13</v>
      </c>
      <c r="B17" s="27">
        <v>99.75992797839352</v>
      </c>
      <c r="C17" s="27">
        <v>99.799959991998392</v>
      </c>
      <c r="D17" s="27">
        <v>99.749899959984006</v>
      </c>
      <c r="E17" s="27">
        <v>99.809942982894867</v>
      </c>
      <c r="F17" s="27">
        <v>99.839967993598705</v>
      </c>
      <c r="G17" s="27">
        <v>99.849969993998798</v>
      </c>
      <c r="H17" s="27">
        <v>99.889988998899895</v>
      </c>
      <c r="I17" s="27">
        <v>99.869986998699886</v>
      </c>
      <c r="J17" s="27">
        <v>99.87</v>
      </c>
      <c r="K17" s="27">
        <v>99.949989997999609</v>
      </c>
      <c r="L17" s="27">
        <v>99.979993998199461</v>
      </c>
      <c r="M17" s="27">
        <v>100.00000000000001</v>
      </c>
      <c r="N17" s="27">
        <v>100</v>
      </c>
      <c r="O17" s="27">
        <v>99.979997999799991</v>
      </c>
    </row>
    <row r="18" spans="1:15" x14ac:dyDescent="0.25">
      <c r="A18" s="2">
        <v>14</v>
      </c>
      <c r="B18" s="27">
        <v>99.999999999999986</v>
      </c>
      <c r="C18" s="27">
        <v>99.979995999199829</v>
      </c>
      <c r="D18" s="27">
        <v>99.979991996798731</v>
      </c>
      <c r="E18" s="27">
        <v>99.989996999099716</v>
      </c>
      <c r="F18" s="27">
        <v>100</v>
      </c>
      <c r="G18" s="27">
        <v>100</v>
      </c>
      <c r="H18" s="27">
        <v>100.00000000000001</v>
      </c>
      <c r="I18" s="27">
        <v>100.00000000000001</v>
      </c>
      <c r="J18" s="27">
        <v>100</v>
      </c>
      <c r="K18" s="27">
        <v>100</v>
      </c>
      <c r="L18" s="27">
        <v>99.999999999999986</v>
      </c>
      <c r="M18" s="27">
        <v>99.949994999499964</v>
      </c>
      <c r="N18" s="27">
        <v>99.929985997199438</v>
      </c>
      <c r="O18" s="27">
        <v>99.889988998899895</v>
      </c>
    </row>
    <row r="19" spans="1:15" x14ac:dyDescent="0.25">
      <c r="A19" s="2">
        <v>15</v>
      </c>
      <c r="B19" s="27">
        <v>99.999999999999986</v>
      </c>
      <c r="C19" s="27">
        <v>100</v>
      </c>
      <c r="D19" s="27">
        <v>100.00000000000001</v>
      </c>
      <c r="E19" s="27">
        <v>99.999999999999986</v>
      </c>
      <c r="F19" s="27">
        <v>100</v>
      </c>
      <c r="G19" s="27">
        <v>99.979995999199829</v>
      </c>
      <c r="H19" s="27">
        <v>99.98999899990001</v>
      </c>
      <c r="I19" s="27">
        <v>99.969996999699973</v>
      </c>
      <c r="J19" s="27">
        <v>99.96</v>
      </c>
      <c r="K19" s="27">
        <v>99.949989997999609</v>
      </c>
      <c r="L19" s="27">
        <v>99.869960988296484</v>
      </c>
      <c r="M19" s="27">
        <v>99.77997799779979</v>
      </c>
      <c r="N19" s="27">
        <v>99.799959991998392</v>
      </c>
      <c r="O19" s="27">
        <v>99.739973997399758</v>
      </c>
    </row>
    <row r="20" spans="1:15" x14ac:dyDescent="0.25">
      <c r="A20" s="2">
        <v>16</v>
      </c>
      <c r="B20" s="27">
        <v>99.819945983795137</v>
      </c>
      <c r="C20" s="27">
        <v>99.909981996399281</v>
      </c>
      <c r="D20" s="27">
        <v>99.82993197278914</v>
      </c>
      <c r="E20" s="27">
        <v>99.859957987396214</v>
      </c>
      <c r="F20" s="27">
        <v>99.909981996399281</v>
      </c>
      <c r="G20" s="27">
        <v>99.849969993998798</v>
      </c>
      <c r="H20" s="27">
        <v>99.899989998999914</v>
      </c>
      <c r="I20" s="27">
        <v>99.819981998199836</v>
      </c>
      <c r="J20" s="27">
        <v>99.8</v>
      </c>
      <c r="K20" s="27">
        <v>99.829965993198641</v>
      </c>
      <c r="L20" s="27">
        <v>99.649894968490543</v>
      </c>
      <c r="M20" s="27">
        <v>99.539953995399557</v>
      </c>
      <c r="N20" s="27">
        <v>99.579915983196642</v>
      </c>
      <c r="O20" s="27">
        <v>99.50995099509953</v>
      </c>
    </row>
    <row r="21" spans="1:15" x14ac:dyDescent="0.25">
      <c r="A21" s="2">
        <v>17</v>
      </c>
      <c r="B21" s="27">
        <v>99.489846954086218</v>
      </c>
      <c r="C21" s="27">
        <v>99.699939987997595</v>
      </c>
      <c r="D21" s="27">
        <v>99.569827931172483</v>
      </c>
      <c r="E21" s="27">
        <v>99.619885965789734</v>
      </c>
      <c r="F21" s="27">
        <v>99.719943988797752</v>
      </c>
      <c r="G21" s="27">
        <v>99.64992998599719</v>
      </c>
      <c r="H21" s="27">
        <v>99.709970997099731</v>
      </c>
      <c r="I21" s="27">
        <v>99.629962996299653</v>
      </c>
      <c r="J21" s="27">
        <v>99.58</v>
      </c>
      <c r="K21" s="27">
        <v>99.599919983996799</v>
      </c>
      <c r="L21" s="27">
        <v>99.399819945983793</v>
      </c>
      <c r="M21" s="27">
        <v>99.289928992899306</v>
      </c>
      <c r="N21" s="27">
        <v>99.309861972394486</v>
      </c>
      <c r="O21" s="27">
        <v>99.269926992699283</v>
      </c>
    </row>
    <row r="22" spans="1:15" x14ac:dyDescent="0.25">
      <c r="A22" s="2">
        <v>18</v>
      </c>
      <c r="B22" s="27">
        <v>99.099729918975683</v>
      </c>
      <c r="C22" s="27">
        <v>99.399879975995191</v>
      </c>
      <c r="D22" s="27">
        <v>99.259703881552639</v>
      </c>
      <c r="E22" s="27">
        <v>99.329798939681893</v>
      </c>
      <c r="F22" s="27">
        <v>99.409881976395269</v>
      </c>
      <c r="G22" s="27">
        <v>99.399879975995191</v>
      </c>
      <c r="H22" s="27">
        <v>99.399939993999411</v>
      </c>
      <c r="I22" s="27">
        <v>99.369936993699383</v>
      </c>
      <c r="J22" s="27">
        <v>99.3</v>
      </c>
      <c r="K22" s="27">
        <v>99.289857971594316</v>
      </c>
      <c r="L22" s="27">
        <v>99.109732919875952</v>
      </c>
      <c r="M22" s="27">
        <v>99.019901990199045</v>
      </c>
      <c r="N22" s="27">
        <v>99.039807961592317</v>
      </c>
      <c r="O22" s="27">
        <v>99.039903990399054</v>
      </c>
    </row>
    <row r="23" spans="1:15" x14ac:dyDescent="0.25">
      <c r="A23" s="2">
        <v>19</v>
      </c>
      <c r="B23" s="27">
        <v>98.689606882064609</v>
      </c>
      <c r="C23" s="27">
        <v>99.049809961992395</v>
      </c>
      <c r="D23" s="27">
        <v>98.899559823929593</v>
      </c>
      <c r="E23" s="27">
        <v>98.999699909972989</v>
      </c>
      <c r="F23" s="27">
        <v>99.049809961992395</v>
      </c>
      <c r="G23" s="27">
        <v>99.099819963992786</v>
      </c>
      <c r="H23" s="27">
        <v>99.029902990299036</v>
      </c>
      <c r="I23" s="27">
        <v>99.049904990499073</v>
      </c>
      <c r="J23" s="27">
        <v>98.98</v>
      </c>
      <c r="K23" s="27">
        <v>98.959791958391676</v>
      </c>
      <c r="L23" s="27">
        <v>98.809642892867856</v>
      </c>
      <c r="M23" s="27">
        <v>98.719871987198729</v>
      </c>
      <c r="N23" s="27">
        <v>98.739747949589912</v>
      </c>
      <c r="O23" s="27">
        <v>98.789878987898803</v>
      </c>
    </row>
    <row r="24" spans="1:15" x14ac:dyDescent="0.25">
      <c r="A24" s="2">
        <v>20</v>
      </c>
      <c r="B24" s="27">
        <v>98.249474842452727</v>
      </c>
      <c r="C24" s="27">
        <v>98.639727945589115</v>
      </c>
      <c r="D24" s="27">
        <v>98.489395758303345</v>
      </c>
      <c r="E24" s="27">
        <v>98.619585875762724</v>
      </c>
      <c r="F24" s="27">
        <v>98.659731946389272</v>
      </c>
      <c r="G24" s="27">
        <v>98.739747949589912</v>
      </c>
      <c r="H24" s="27">
        <v>98.629862986298647</v>
      </c>
      <c r="I24" s="27">
        <v>98.679867986798698</v>
      </c>
      <c r="J24" s="27">
        <v>98.64</v>
      </c>
      <c r="K24" s="27">
        <v>98.619723944788944</v>
      </c>
      <c r="L24" s="27">
        <v>98.499549864959477</v>
      </c>
      <c r="M24" s="27">
        <v>98.409840984098423</v>
      </c>
      <c r="N24" s="27">
        <v>98.409681936387273</v>
      </c>
      <c r="O24" s="27">
        <v>98.489848984898501</v>
      </c>
    </row>
    <row r="25" spans="1:15" x14ac:dyDescent="0.25">
      <c r="A25" s="2">
        <v>21</v>
      </c>
      <c r="B25" s="27">
        <v>97.769330799239754</v>
      </c>
      <c r="C25" s="27">
        <v>98.159631926385273</v>
      </c>
      <c r="D25" s="27">
        <v>98.039215686274531</v>
      </c>
      <c r="E25" s="27">
        <v>98.189456837051111</v>
      </c>
      <c r="F25" s="27">
        <v>98.239647929585914</v>
      </c>
      <c r="G25" s="27">
        <v>98.339667933586711</v>
      </c>
      <c r="H25" s="27">
        <v>98.249824982498254</v>
      </c>
      <c r="I25" s="27">
        <v>98.2898289828983</v>
      </c>
      <c r="J25" s="27">
        <v>98.27</v>
      </c>
      <c r="K25" s="27">
        <v>98.269653930786149</v>
      </c>
      <c r="L25" s="27">
        <v>98.169450835250572</v>
      </c>
      <c r="M25" s="27">
        <v>98.059805980598071</v>
      </c>
      <c r="N25" s="27">
        <v>98.069613922784555</v>
      </c>
      <c r="O25" s="27">
        <v>98.159815981598186</v>
      </c>
    </row>
    <row r="26" spans="1:15" x14ac:dyDescent="0.25">
      <c r="A26" s="2">
        <v>22</v>
      </c>
      <c r="B26" s="27">
        <v>97.239171751525447</v>
      </c>
      <c r="C26" s="27">
        <v>97.619523904780948</v>
      </c>
      <c r="D26" s="27">
        <v>97.559023609443784</v>
      </c>
      <c r="E26" s="27">
        <v>97.789336801040307</v>
      </c>
      <c r="F26" s="27">
        <v>97.799559911982399</v>
      </c>
      <c r="G26" s="27">
        <v>97.939587917583509</v>
      </c>
      <c r="H26" s="27">
        <v>97.869786978697888</v>
      </c>
      <c r="I26" s="27">
        <v>97.889788978897897</v>
      </c>
      <c r="J26" s="27">
        <v>97.89</v>
      </c>
      <c r="K26" s="27">
        <v>97.919583916783353</v>
      </c>
      <c r="L26" s="27">
        <v>97.809342802840845</v>
      </c>
      <c r="M26" s="27">
        <v>97.68976897689771</v>
      </c>
      <c r="N26" s="27">
        <v>97.729545909181823</v>
      </c>
      <c r="O26" s="27">
        <v>97.819781978197838</v>
      </c>
    </row>
    <row r="27" spans="1:15" x14ac:dyDescent="0.25">
      <c r="A27" s="2">
        <v>23</v>
      </c>
      <c r="B27" s="27">
        <v>96.679003701110332</v>
      </c>
      <c r="C27" s="27">
        <v>97.069413882776544</v>
      </c>
      <c r="D27" s="27">
        <v>97.0888355342137</v>
      </c>
      <c r="E27" s="27">
        <v>97.379213764129233</v>
      </c>
      <c r="F27" s="27">
        <v>97.359471894378871</v>
      </c>
      <c r="G27" s="27">
        <v>97.529505901180244</v>
      </c>
      <c r="H27" s="27">
        <v>97.469746974697472</v>
      </c>
      <c r="I27" s="27">
        <v>97.47974797479749</v>
      </c>
      <c r="J27" s="27">
        <v>97.52</v>
      </c>
      <c r="K27" s="27">
        <v>97.559511902380478</v>
      </c>
      <c r="L27" s="27">
        <v>97.449234770431119</v>
      </c>
      <c r="M27" s="27">
        <v>97.32973297329734</v>
      </c>
      <c r="N27" s="27">
        <v>97.399479895979184</v>
      </c>
      <c r="O27" s="27">
        <v>97.489748974897509</v>
      </c>
    </row>
    <row r="28" spans="1:15" x14ac:dyDescent="0.25">
      <c r="A28" s="2">
        <v>24</v>
      </c>
      <c r="B28" s="27">
        <v>96.09882964889465</v>
      </c>
      <c r="C28" s="27">
        <v>96.499299859971998</v>
      </c>
      <c r="D28" s="27">
        <v>96.628651460584251</v>
      </c>
      <c r="E28" s="27">
        <v>96.909072721816528</v>
      </c>
      <c r="F28" s="27">
        <v>96.929385877175434</v>
      </c>
      <c r="G28" s="27">
        <v>97.099419883976793</v>
      </c>
      <c r="H28" s="27">
        <v>97.019701970197033</v>
      </c>
      <c r="I28" s="27">
        <v>97.089708970897107</v>
      </c>
      <c r="J28" s="27">
        <v>97.14</v>
      </c>
      <c r="K28" s="27">
        <v>97.179435887177434</v>
      </c>
      <c r="L28" s="27">
        <v>97.099129738921661</v>
      </c>
      <c r="M28" s="27">
        <v>96.989698969897006</v>
      </c>
      <c r="N28" s="27">
        <v>97.079415883176637</v>
      </c>
      <c r="O28" s="27">
        <v>97.149714971497161</v>
      </c>
    </row>
    <row r="29" spans="1:15" x14ac:dyDescent="0.25">
      <c r="A29" s="2">
        <v>25</v>
      </c>
      <c r="B29" s="27">
        <v>95.528658597579266</v>
      </c>
      <c r="C29" s="27">
        <v>95.939187837567516</v>
      </c>
      <c r="D29" s="27">
        <v>96.158463385354167</v>
      </c>
      <c r="E29" s="27">
        <v>96.388916675002491</v>
      </c>
      <c r="F29" s="27">
        <v>96.489297859571906</v>
      </c>
      <c r="G29" s="27">
        <v>96.649329865973186</v>
      </c>
      <c r="H29" s="27">
        <v>96.579657965796585</v>
      </c>
      <c r="I29" s="27">
        <v>96.709670967096727</v>
      </c>
      <c r="J29" s="27">
        <v>96.74</v>
      </c>
      <c r="K29" s="27">
        <v>96.78935787157431</v>
      </c>
      <c r="L29" s="27">
        <v>96.729018705611679</v>
      </c>
      <c r="M29" s="27">
        <v>96.649664966496658</v>
      </c>
      <c r="N29" s="27">
        <v>96.759351870374061</v>
      </c>
      <c r="O29" s="27">
        <v>96.829682968296837</v>
      </c>
    </row>
    <row r="30" spans="1:15" x14ac:dyDescent="0.25">
      <c r="A30" s="2">
        <v>26</v>
      </c>
      <c r="B30" s="27">
        <v>94.968490547164137</v>
      </c>
      <c r="C30" s="27">
        <v>95.429085817163426</v>
      </c>
      <c r="D30" s="27">
        <v>95.638255302120854</v>
      </c>
      <c r="E30" s="27">
        <v>95.878763629088709</v>
      </c>
      <c r="F30" s="27">
        <v>96.069213842768548</v>
      </c>
      <c r="G30" s="27">
        <v>96.179235847169423</v>
      </c>
      <c r="H30" s="27">
        <v>96.159615961596174</v>
      </c>
      <c r="I30" s="27">
        <v>96.289628962896302</v>
      </c>
      <c r="J30" s="27">
        <v>96.34</v>
      </c>
      <c r="K30" s="27">
        <v>96.419283856771358</v>
      </c>
      <c r="L30" s="27">
        <v>96.348904671401414</v>
      </c>
      <c r="M30" s="27">
        <v>96.29962996299632</v>
      </c>
      <c r="N30" s="27">
        <v>96.419283856771358</v>
      </c>
      <c r="O30" s="27">
        <v>96.509650965096526</v>
      </c>
    </row>
    <row r="31" spans="1:15" x14ac:dyDescent="0.25">
      <c r="A31" s="2">
        <v>27</v>
      </c>
      <c r="B31" s="27">
        <v>94.418325497649292</v>
      </c>
      <c r="C31" s="27">
        <v>94.948989797959598</v>
      </c>
      <c r="D31" s="27">
        <v>95.098039215686285</v>
      </c>
      <c r="E31" s="27">
        <v>95.38861658497548</v>
      </c>
      <c r="F31" s="27">
        <v>95.619123824764941</v>
      </c>
      <c r="G31" s="27">
        <v>95.719143828765752</v>
      </c>
      <c r="H31" s="27">
        <v>95.709570957095721</v>
      </c>
      <c r="I31" s="27">
        <v>95.839583958395849</v>
      </c>
      <c r="J31" s="27">
        <v>95.92</v>
      </c>
      <c r="K31" s="27">
        <v>96.069213842768548</v>
      </c>
      <c r="L31" s="27">
        <v>95.978793638091418</v>
      </c>
      <c r="M31" s="27">
        <v>95.929592959295945</v>
      </c>
      <c r="N31" s="27">
        <v>96.05921184236847</v>
      </c>
      <c r="O31" s="27">
        <v>96.159615961596174</v>
      </c>
    </row>
    <row r="32" spans="1:15" x14ac:dyDescent="0.25">
      <c r="A32" s="2">
        <v>28</v>
      </c>
      <c r="B32" s="27">
        <v>93.868160448134432</v>
      </c>
      <c r="C32" s="27">
        <v>94.458891778355664</v>
      </c>
      <c r="D32" s="27">
        <v>94.567827130852351</v>
      </c>
      <c r="E32" s="27">
        <v>94.908472541762521</v>
      </c>
      <c r="F32" s="27">
        <v>95.139027805561113</v>
      </c>
      <c r="G32" s="27">
        <v>95.259051810362067</v>
      </c>
      <c r="H32" s="27">
        <v>95.23952395239526</v>
      </c>
      <c r="I32" s="27">
        <v>95.389538953895396</v>
      </c>
      <c r="J32" s="27">
        <v>95.5</v>
      </c>
      <c r="K32" s="27">
        <v>95.689137827565517</v>
      </c>
      <c r="L32" s="27">
        <v>95.608682604781421</v>
      </c>
      <c r="M32" s="27">
        <v>95.569556955695589</v>
      </c>
      <c r="N32" s="27">
        <v>95.689137827565517</v>
      </c>
      <c r="O32" s="27">
        <v>95.789578957895799</v>
      </c>
    </row>
    <row r="33" spans="1:15" x14ac:dyDescent="0.25">
      <c r="A33" s="2">
        <v>29</v>
      </c>
      <c r="B33" s="27">
        <v>93.307992397719318</v>
      </c>
      <c r="C33" s="27">
        <v>93.90878175635126</v>
      </c>
      <c r="D33" s="27">
        <v>94.087635054021618</v>
      </c>
      <c r="E33" s="27">
        <v>94.398319495848753</v>
      </c>
      <c r="F33" s="27">
        <v>94.648929785957179</v>
      </c>
      <c r="G33" s="27">
        <v>94.808961792358474</v>
      </c>
      <c r="H33" s="27">
        <v>94.829482948294839</v>
      </c>
      <c r="I33" s="27">
        <v>94.949494949494962</v>
      </c>
      <c r="J33" s="27">
        <v>95.08</v>
      </c>
      <c r="K33" s="27">
        <v>95.279055811162237</v>
      </c>
      <c r="L33" s="27">
        <v>95.22856857057117</v>
      </c>
      <c r="M33" s="27">
        <v>95.199519951995214</v>
      </c>
      <c r="N33" s="27">
        <v>95.359071814362878</v>
      </c>
      <c r="O33" s="27">
        <v>95.45954595459547</v>
      </c>
    </row>
    <row r="34" spans="1:15" x14ac:dyDescent="0.25">
      <c r="A34" s="2">
        <v>30</v>
      </c>
      <c r="B34" s="27">
        <v>92.747824347304189</v>
      </c>
      <c r="C34" s="27">
        <v>93.288657731546294</v>
      </c>
      <c r="D34" s="27">
        <v>93.617446978791534</v>
      </c>
      <c r="E34" s="27">
        <v>93.858157447234163</v>
      </c>
      <c r="F34" s="27">
        <v>94.198839767953586</v>
      </c>
      <c r="G34" s="27">
        <v>94.348869773954789</v>
      </c>
      <c r="H34" s="27">
        <v>94.419441944194432</v>
      </c>
      <c r="I34" s="27">
        <v>94.489448944894505</v>
      </c>
      <c r="J34" s="27">
        <v>94.67</v>
      </c>
      <c r="K34" s="27">
        <v>94.868973794758944</v>
      </c>
      <c r="L34" s="27">
        <v>94.868460538161443</v>
      </c>
      <c r="M34" s="27">
        <v>94.829482948294839</v>
      </c>
      <c r="N34" s="27">
        <v>95.019003800760146</v>
      </c>
      <c r="O34" s="27">
        <v>95.159515951595182</v>
      </c>
    </row>
    <row r="35" spans="1:15" x14ac:dyDescent="0.25">
      <c r="A35" s="2">
        <v>31</v>
      </c>
      <c r="B35" s="27">
        <v>92.167650295088521</v>
      </c>
      <c r="C35" s="27">
        <v>92.708541708341656</v>
      </c>
      <c r="D35" s="27">
        <v>93.127250900360167</v>
      </c>
      <c r="E35" s="27">
        <v>93.358007402220665</v>
      </c>
      <c r="F35" s="27">
        <v>93.758751750350058</v>
      </c>
      <c r="G35" s="27">
        <v>93.888777755551104</v>
      </c>
      <c r="H35" s="27">
        <v>93.979397939793998</v>
      </c>
      <c r="I35" s="27">
        <v>94.06940694069408</v>
      </c>
      <c r="J35" s="27">
        <v>94.26</v>
      </c>
      <c r="K35" s="27">
        <v>94.458891778355664</v>
      </c>
      <c r="L35" s="27">
        <v>94.518355506651986</v>
      </c>
      <c r="M35" s="27">
        <v>94.479447944794487</v>
      </c>
      <c r="N35" s="27">
        <v>94.658931786357272</v>
      </c>
      <c r="O35" s="27">
        <v>94.839483948394857</v>
      </c>
    </row>
    <row r="36" spans="1:15" x14ac:dyDescent="0.25">
      <c r="A36" s="2">
        <v>32</v>
      </c>
      <c r="B36" s="27">
        <v>91.577473241972584</v>
      </c>
      <c r="C36" s="27">
        <v>92.198439687937594</v>
      </c>
      <c r="D36" s="27">
        <v>92.617046818727502</v>
      </c>
      <c r="E36" s="27">
        <v>92.917875362608783</v>
      </c>
      <c r="F36" s="27">
        <v>93.27865573114623</v>
      </c>
      <c r="G36" s="27">
        <v>93.438687737547511</v>
      </c>
      <c r="H36" s="27">
        <v>93.529352935293545</v>
      </c>
      <c r="I36" s="27">
        <v>93.669366936693677</v>
      </c>
      <c r="J36" s="27">
        <v>93.84</v>
      </c>
      <c r="K36" s="27">
        <v>94.068813762752541</v>
      </c>
      <c r="L36" s="27">
        <v>94.148244473342004</v>
      </c>
      <c r="M36" s="27">
        <v>94.149414941494157</v>
      </c>
      <c r="N36" s="27">
        <v>94.298859771954383</v>
      </c>
      <c r="O36" s="27">
        <v>94.489448944894505</v>
      </c>
    </row>
    <row r="37" spans="1:15" x14ac:dyDescent="0.25">
      <c r="A37" s="2">
        <v>33</v>
      </c>
      <c r="B37" s="27">
        <v>90.987296188856646</v>
      </c>
      <c r="C37" s="27">
        <v>91.708341668333659</v>
      </c>
      <c r="D37" s="27">
        <v>92.116846738695486</v>
      </c>
      <c r="E37" s="27">
        <v>92.477743322996901</v>
      </c>
      <c r="F37" s="27">
        <v>92.778555711142232</v>
      </c>
      <c r="G37" s="27">
        <v>92.998599719943982</v>
      </c>
      <c r="H37" s="27">
        <v>93.089308930893097</v>
      </c>
      <c r="I37" s="27">
        <v>93.279327932793294</v>
      </c>
      <c r="J37" s="27">
        <v>93.42</v>
      </c>
      <c r="K37" s="27">
        <v>93.698739747949588</v>
      </c>
      <c r="L37" s="27">
        <v>93.758127438231469</v>
      </c>
      <c r="M37" s="27">
        <v>93.809380938093824</v>
      </c>
      <c r="N37" s="27">
        <v>93.958791758351666</v>
      </c>
      <c r="O37" s="27">
        <v>94.139413941394153</v>
      </c>
    </row>
    <row r="38" spans="1:15" x14ac:dyDescent="0.25">
      <c r="A38" s="2">
        <v>34</v>
      </c>
      <c r="B38" s="27">
        <v>90.397119135740724</v>
      </c>
      <c r="C38" s="27">
        <v>91.158231646329256</v>
      </c>
      <c r="D38" s="27">
        <v>91.586634653861552</v>
      </c>
      <c r="E38" s="27">
        <v>91.987596278883657</v>
      </c>
      <c r="F38" s="27">
        <v>92.29845969193839</v>
      </c>
      <c r="G38" s="27">
        <v>92.558511702340468</v>
      </c>
      <c r="H38" s="27">
        <v>92.659265926592681</v>
      </c>
      <c r="I38" s="27">
        <v>92.869286928692887</v>
      </c>
      <c r="J38" s="27">
        <v>93.02</v>
      </c>
      <c r="K38" s="27">
        <v>93.318663732746543</v>
      </c>
      <c r="L38" s="27">
        <v>93.388016404921473</v>
      </c>
      <c r="M38" s="27">
        <v>93.439343934393463</v>
      </c>
      <c r="N38" s="27">
        <v>93.60872174434887</v>
      </c>
      <c r="O38" s="27">
        <v>93.809380938093824</v>
      </c>
    </row>
    <row r="39" spans="1:15" x14ac:dyDescent="0.25">
      <c r="A39" s="2">
        <v>35</v>
      </c>
      <c r="B39" s="27">
        <v>89.816945083525056</v>
      </c>
      <c r="C39" s="27">
        <v>90.608121624324866</v>
      </c>
      <c r="D39" s="27">
        <v>91.08643457382955</v>
      </c>
      <c r="E39" s="27">
        <v>91.457437231169351</v>
      </c>
      <c r="F39" s="27">
        <v>91.818363672734534</v>
      </c>
      <c r="G39" s="27">
        <v>92.118423684736939</v>
      </c>
      <c r="H39" s="27">
        <v>92.219221922192219</v>
      </c>
      <c r="I39" s="27">
        <v>92.439243924392457</v>
      </c>
      <c r="J39" s="27">
        <v>92.65</v>
      </c>
      <c r="K39" s="27">
        <v>92.918583716743356</v>
      </c>
      <c r="L39" s="27">
        <v>93.017905371611477</v>
      </c>
      <c r="M39" s="27">
        <v>93.049304930493065</v>
      </c>
      <c r="N39" s="27">
        <v>93.238647729545903</v>
      </c>
      <c r="O39" s="27">
        <v>93.469346934693476</v>
      </c>
    </row>
    <row r="40" spans="1:15" x14ac:dyDescent="0.25">
      <c r="A40" s="2">
        <v>36</v>
      </c>
      <c r="B40" s="27">
        <v>89.246774032209657</v>
      </c>
      <c r="C40" s="27">
        <v>90.078015603120619</v>
      </c>
      <c r="D40" s="27">
        <v>90.616246498599452</v>
      </c>
      <c r="E40" s="27">
        <v>90.947284185255569</v>
      </c>
      <c r="F40" s="27">
        <v>91.338267653530693</v>
      </c>
      <c r="G40" s="27">
        <v>91.648329665933176</v>
      </c>
      <c r="H40" s="27">
        <v>91.759175917591776</v>
      </c>
      <c r="I40" s="27">
        <v>92.009200920092027</v>
      </c>
      <c r="J40" s="27">
        <v>92.27</v>
      </c>
      <c r="K40" s="27">
        <v>92.538507701540297</v>
      </c>
      <c r="L40" s="27">
        <v>92.647794338301495</v>
      </c>
      <c r="M40" s="27">
        <v>92.669266926692686</v>
      </c>
      <c r="N40" s="27">
        <v>92.888577715543107</v>
      </c>
      <c r="O40" s="27">
        <v>93.119311931193138</v>
      </c>
    </row>
    <row r="41" spans="1:15" x14ac:dyDescent="0.25">
      <c r="A41" s="2">
        <v>37</v>
      </c>
      <c r="B41" s="27">
        <v>88.686605981794528</v>
      </c>
      <c r="C41" s="27">
        <v>89.577915583116621</v>
      </c>
      <c r="D41" s="27">
        <v>90.146058423369368</v>
      </c>
      <c r="E41" s="27">
        <v>90.487146143843134</v>
      </c>
      <c r="F41" s="27">
        <v>90.868173634726929</v>
      </c>
      <c r="G41" s="27">
        <v>91.178235647129412</v>
      </c>
      <c r="H41" s="27">
        <v>91.279127912791282</v>
      </c>
      <c r="I41" s="27">
        <v>91.589158915891602</v>
      </c>
      <c r="J41" s="27">
        <v>91.88</v>
      </c>
      <c r="K41" s="27">
        <v>92.158431686337266</v>
      </c>
      <c r="L41" s="27">
        <v>92.247674302290676</v>
      </c>
      <c r="M41" s="27">
        <v>92.309230923092315</v>
      </c>
      <c r="N41" s="27">
        <v>92.54850970194039</v>
      </c>
      <c r="O41" s="27">
        <v>92.779277927792791</v>
      </c>
    </row>
    <row r="42" spans="1:15" x14ac:dyDescent="0.25">
      <c r="A42" s="2">
        <v>38</v>
      </c>
      <c r="B42" s="27">
        <v>88.1264379313794</v>
      </c>
      <c r="C42" s="27">
        <v>89.06781356271253</v>
      </c>
      <c r="D42" s="27">
        <v>89.665866346538621</v>
      </c>
      <c r="E42" s="27">
        <v>90.037011103330997</v>
      </c>
      <c r="F42" s="27">
        <v>90.408081616323258</v>
      </c>
      <c r="G42" s="27">
        <v>90.708141628325663</v>
      </c>
      <c r="H42" s="27">
        <v>90.819081908190839</v>
      </c>
      <c r="I42" s="27">
        <v>91.159115911591172</v>
      </c>
      <c r="J42" s="27">
        <v>91.46</v>
      </c>
      <c r="K42" s="27">
        <v>91.758351670334051</v>
      </c>
      <c r="L42" s="27">
        <v>91.847554266279872</v>
      </c>
      <c r="M42" s="27">
        <v>91.959195919591977</v>
      </c>
      <c r="N42" s="27">
        <v>92.188437687537501</v>
      </c>
      <c r="O42" s="27">
        <v>92.439243924392457</v>
      </c>
    </row>
    <row r="43" spans="1:15" x14ac:dyDescent="0.25">
      <c r="A43" s="2">
        <v>39</v>
      </c>
      <c r="B43" s="27">
        <v>87.576272881864554</v>
      </c>
      <c r="C43" s="27">
        <v>88.557711542308468</v>
      </c>
      <c r="D43" s="27">
        <v>89.155662264905985</v>
      </c>
      <c r="E43" s="27">
        <v>89.566870061018307</v>
      </c>
      <c r="F43" s="27">
        <v>89.957991598319651</v>
      </c>
      <c r="G43" s="27">
        <v>90.258051610322056</v>
      </c>
      <c r="H43" s="27">
        <v>90.359035903590367</v>
      </c>
      <c r="I43" s="27">
        <v>90.739073907390761</v>
      </c>
      <c r="J43" s="27">
        <v>91.04</v>
      </c>
      <c r="K43" s="27">
        <v>91.368273654730942</v>
      </c>
      <c r="L43" s="27">
        <v>91.467440232069606</v>
      </c>
      <c r="M43" s="27">
        <v>91.609160916091611</v>
      </c>
      <c r="N43" s="27">
        <v>91.838367673534691</v>
      </c>
      <c r="O43" s="27">
        <v>92.109210921092114</v>
      </c>
    </row>
    <row r="44" spans="1:15" x14ac:dyDescent="0.25">
      <c r="A44" s="2">
        <v>40</v>
      </c>
      <c r="B44" s="27">
        <v>87.016104831449425</v>
      </c>
      <c r="C44" s="27">
        <v>88.017603520704142</v>
      </c>
      <c r="D44" s="27">
        <v>88.585434173669483</v>
      </c>
      <c r="E44" s="27">
        <v>89.096729018705602</v>
      </c>
      <c r="F44" s="27">
        <v>89.507901580316059</v>
      </c>
      <c r="G44" s="27">
        <v>89.817963592718542</v>
      </c>
      <c r="H44" s="27">
        <v>89.928992899289938</v>
      </c>
      <c r="I44" s="27">
        <v>90.309030903090317</v>
      </c>
      <c r="J44" s="27">
        <v>90.61</v>
      </c>
      <c r="K44" s="27">
        <v>90.988197639527897</v>
      </c>
      <c r="L44" s="27">
        <v>91.107332199659893</v>
      </c>
      <c r="M44" s="27">
        <v>91.249124912491254</v>
      </c>
      <c r="N44" s="27">
        <v>91.468293658731739</v>
      </c>
      <c r="O44" s="27">
        <v>91.759175917591776</v>
      </c>
    </row>
    <row r="45" spans="1:15" x14ac:dyDescent="0.25">
      <c r="A45" s="2">
        <v>41</v>
      </c>
      <c r="B45" s="27">
        <v>86.45593678103431</v>
      </c>
      <c r="C45" s="27">
        <v>87.447489497899582</v>
      </c>
      <c r="D45" s="27">
        <v>88.045218087234915</v>
      </c>
      <c r="E45" s="27">
        <v>88.616584975492643</v>
      </c>
      <c r="F45" s="27">
        <v>89.037807561512295</v>
      </c>
      <c r="G45" s="27">
        <v>89.377875575115013</v>
      </c>
      <c r="H45" s="27">
        <v>89.498949894989508</v>
      </c>
      <c r="I45" s="27">
        <v>89.888988898889892</v>
      </c>
      <c r="J45" s="27">
        <v>90.2</v>
      </c>
      <c r="K45" s="27">
        <v>90.578115623124617</v>
      </c>
      <c r="L45" s="27">
        <v>90.727218165449628</v>
      </c>
      <c r="M45" s="27">
        <v>90.909090909090921</v>
      </c>
      <c r="N45" s="27">
        <v>91.098219643928786</v>
      </c>
      <c r="O45" s="27">
        <v>91.399139913991419</v>
      </c>
    </row>
    <row r="46" spans="1:15" x14ac:dyDescent="0.25">
      <c r="A46" s="2">
        <v>42</v>
      </c>
      <c r="B46" s="27">
        <v>85.895768730619181</v>
      </c>
      <c r="C46" s="27">
        <v>86.8873774754951</v>
      </c>
      <c r="D46" s="27">
        <v>87.525010004001615</v>
      </c>
      <c r="E46" s="27">
        <v>88.106431929578861</v>
      </c>
      <c r="F46" s="27">
        <v>88.547709541908375</v>
      </c>
      <c r="G46" s="27">
        <v>88.92778555711142</v>
      </c>
      <c r="H46" s="27">
        <v>89.078907890789083</v>
      </c>
      <c r="I46" s="27">
        <v>89.488948894889504</v>
      </c>
      <c r="J46" s="27">
        <v>89.78</v>
      </c>
      <c r="K46" s="27">
        <v>90.148029605921181</v>
      </c>
      <c r="L46" s="27">
        <v>90.337101130339093</v>
      </c>
      <c r="M46" s="27">
        <v>90.559055905590569</v>
      </c>
      <c r="N46" s="27">
        <v>90.738147629525898</v>
      </c>
      <c r="O46" s="27">
        <v>91.059105910591072</v>
      </c>
    </row>
    <row r="47" spans="1:15" x14ac:dyDescent="0.25">
      <c r="A47" s="2">
        <v>43</v>
      </c>
      <c r="B47" s="27">
        <v>85.335600680204053</v>
      </c>
      <c r="C47" s="27">
        <v>86.367273454690931</v>
      </c>
      <c r="D47" s="27">
        <v>87.014805922368964</v>
      </c>
      <c r="E47" s="27">
        <v>87.616284885465632</v>
      </c>
      <c r="F47" s="27">
        <v>88.05761152230447</v>
      </c>
      <c r="G47" s="27">
        <v>88.477695539107813</v>
      </c>
      <c r="H47" s="27">
        <v>88.638863886388648</v>
      </c>
      <c r="I47" s="27">
        <v>89.058905890589074</v>
      </c>
      <c r="J47" s="27">
        <v>89.38</v>
      </c>
      <c r="K47" s="27">
        <v>89.757951590318058</v>
      </c>
      <c r="L47" s="27">
        <v>89.97699309792938</v>
      </c>
      <c r="M47" s="27">
        <v>90.189018901890208</v>
      </c>
      <c r="N47" s="27">
        <v>90.388077615523102</v>
      </c>
      <c r="O47" s="27">
        <v>90.729072907290742</v>
      </c>
    </row>
    <row r="48" spans="1:15" x14ac:dyDescent="0.25">
      <c r="A48" s="2">
        <v>44</v>
      </c>
      <c r="B48" s="27">
        <v>84.795438631589462</v>
      </c>
      <c r="C48" s="27">
        <v>85.847169433886776</v>
      </c>
      <c r="D48" s="27">
        <v>86.514605842336948</v>
      </c>
      <c r="E48" s="27">
        <v>87.136140842252672</v>
      </c>
      <c r="F48" s="27">
        <v>87.607521504300863</v>
      </c>
      <c r="G48" s="27">
        <v>88.017603520704142</v>
      </c>
      <c r="H48" s="27">
        <v>88.178817881788191</v>
      </c>
      <c r="I48" s="27">
        <v>88.598859885988617</v>
      </c>
      <c r="J48" s="27">
        <v>88.99</v>
      </c>
      <c r="K48" s="27">
        <v>89.387877575515105</v>
      </c>
      <c r="L48" s="27">
        <v>89.626888066419909</v>
      </c>
      <c r="M48" s="27">
        <v>89.798979897989824</v>
      </c>
      <c r="N48" s="27">
        <v>90.058011602320462</v>
      </c>
      <c r="O48" s="27">
        <v>90.409040904090432</v>
      </c>
    </row>
    <row r="49" spans="1:15" x14ac:dyDescent="0.25">
      <c r="A49" s="2">
        <v>45</v>
      </c>
      <c r="B49" s="27">
        <v>84.265279583875156</v>
      </c>
      <c r="C49" s="27">
        <v>85.337067413482686</v>
      </c>
      <c r="D49" s="27">
        <v>85.994397759103649</v>
      </c>
      <c r="E49" s="27">
        <v>86.645993798139443</v>
      </c>
      <c r="F49" s="27">
        <v>87.167433486697348</v>
      </c>
      <c r="G49" s="27">
        <v>87.547509501900379</v>
      </c>
      <c r="H49" s="27">
        <v>87.71877187718772</v>
      </c>
      <c r="I49" s="27">
        <v>88.158815881588183</v>
      </c>
      <c r="J49" s="27">
        <v>88.6</v>
      </c>
      <c r="K49" s="27">
        <v>88.997799559911982</v>
      </c>
      <c r="L49" s="27">
        <v>89.256777033109927</v>
      </c>
      <c r="M49" s="27">
        <v>89.438943894389453</v>
      </c>
      <c r="N49" s="27">
        <v>89.737947589517901</v>
      </c>
      <c r="O49" s="27">
        <v>90.079007900790089</v>
      </c>
    </row>
    <row r="50" spans="1:15" x14ac:dyDescent="0.25">
      <c r="A50" s="2">
        <v>46</v>
      </c>
      <c r="B50" s="27">
        <v>83.72511753526058</v>
      </c>
      <c r="C50" s="27">
        <v>84.786957391478282</v>
      </c>
      <c r="D50" s="27">
        <v>85.45418167266908</v>
      </c>
      <c r="E50" s="27">
        <v>86.185855756727008</v>
      </c>
      <c r="F50" s="27">
        <v>86.697339467893585</v>
      </c>
      <c r="G50" s="27">
        <v>87.067413482696537</v>
      </c>
      <c r="H50" s="27">
        <v>87.288728872887305</v>
      </c>
      <c r="I50" s="27">
        <v>87.748774877487762</v>
      </c>
      <c r="J50" s="27">
        <v>88.18</v>
      </c>
      <c r="K50" s="27">
        <v>88.567713542708532</v>
      </c>
      <c r="L50" s="27">
        <v>88.866659997999392</v>
      </c>
      <c r="M50" s="27">
        <v>89.068906890689078</v>
      </c>
      <c r="N50" s="27">
        <v>89.387877575515105</v>
      </c>
      <c r="O50" s="27">
        <v>89.718971897189732</v>
      </c>
    </row>
    <row r="51" spans="1:15" x14ac:dyDescent="0.25">
      <c r="A51" s="2">
        <v>47</v>
      </c>
      <c r="B51" s="27">
        <v>83.18495548664599</v>
      </c>
      <c r="C51" s="27">
        <v>84.246849369873971</v>
      </c>
      <c r="D51" s="27">
        <v>84.983993597438996</v>
      </c>
      <c r="E51" s="27">
        <v>85.715714714414318</v>
      </c>
      <c r="F51" s="27">
        <v>86.197239447889586</v>
      </c>
      <c r="G51" s="27">
        <v>86.597319463892774</v>
      </c>
      <c r="H51" s="27">
        <v>86.878687868786898</v>
      </c>
      <c r="I51" s="27">
        <v>87.348734873487359</v>
      </c>
      <c r="J51" s="27">
        <v>87.76</v>
      </c>
      <c r="K51" s="27">
        <v>88.197639527905579</v>
      </c>
      <c r="L51" s="27">
        <v>88.496548964689396</v>
      </c>
      <c r="M51" s="27">
        <v>88.688868886888713</v>
      </c>
      <c r="N51" s="27">
        <v>89.00780156031206</v>
      </c>
      <c r="O51" s="27">
        <v>89.358935893589361</v>
      </c>
    </row>
    <row r="52" spans="1:15" x14ac:dyDescent="0.25">
      <c r="A52" s="2">
        <v>48</v>
      </c>
      <c r="B52" s="27">
        <v>82.63479043713113</v>
      </c>
      <c r="C52" s="27">
        <v>83.736747349469894</v>
      </c>
      <c r="D52" s="27">
        <v>84.553821528611451</v>
      </c>
      <c r="E52" s="27">
        <v>85.20556166850055</v>
      </c>
      <c r="F52" s="27">
        <v>85.717143428685731</v>
      </c>
      <c r="G52" s="27">
        <v>86.147229445889167</v>
      </c>
      <c r="H52" s="27">
        <v>86.438643864386464</v>
      </c>
      <c r="I52" s="27">
        <v>86.938693869386952</v>
      </c>
      <c r="J52" s="27">
        <v>87.34</v>
      </c>
      <c r="K52" s="27">
        <v>87.857571514302862</v>
      </c>
      <c r="L52" s="27">
        <v>88.136440932279683</v>
      </c>
      <c r="M52" s="27">
        <v>88.308830883088319</v>
      </c>
      <c r="N52" s="27">
        <v>88.657731546309265</v>
      </c>
      <c r="O52" s="27">
        <v>89.018901890189042</v>
      </c>
    </row>
    <row r="53" spans="1:15" x14ac:dyDescent="0.25">
      <c r="A53" s="2">
        <v>49</v>
      </c>
      <c r="B53" s="27">
        <v>82.084625387616285</v>
      </c>
      <c r="C53" s="27">
        <v>83.236647329465882</v>
      </c>
      <c r="D53" s="27">
        <v>84.063625450180083</v>
      </c>
      <c r="E53" s="27">
        <v>84.685405621686499</v>
      </c>
      <c r="F53" s="27">
        <v>85.277055411082216</v>
      </c>
      <c r="G53" s="27">
        <v>85.717143428685731</v>
      </c>
      <c r="H53" s="27">
        <v>85.988598859886011</v>
      </c>
      <c r="I53" s="27">
        <v>86.518651865186541</v>
      </c>
      <c r="J53" s="27">
        <v>86.93</v>
      </c>
      <c r="K53" s="27">
        <v>87.477495499099817</v>
      </c>
      <c r="L53" s="27">
        <v>87.756326898069418</v>
      </c>
      <c r="M53" s="27">
        <v>87.968796879687972</v>
      </c>
      <c r="N53" s="27">
        <v>88.327665533106625</v>
      </c>
      <c r="O53" s="27">
        <v>88.708870887088722</v>
      </c>
    </row>
    <row r="54" spans="1:15" x14ac:dyDescent="0.25">
      <c r="A54" s="2">
        <v>50</v>
      </c>
      <c r="B54" s="27">
        <v>81.514454336300886</v>
      </c>
      <c r="C54" s="27">
        <v>82.736547309461884</v>
      </c>
      <c r="D54" s="27">
        <v>83.5234093637455</v>
      </c>
      <c r="E54" s="27">
        <v>84.215264579373809</v>
      </c>
      <c r="F54" s="27">
        <v>84.836967393478687</v>
      </c>
      <c r="G54" s="27">
        <v>85.287057411482294</v>
      </c>
      <c r="H54" s="27">
        <v>85.548554855485563</v>
      </c>
      <c r="I54" s="27">
        <v>86.078607860786079</v>
      </c>
      <c r="J54" s="27">
        <v>86.52</v>
      </c>
      <c r="K54" s="27">
        <v>87.067413482696537</v>
      </c>
      <c r="L54" s="27">
        <v>87.396218865659691</v>
      </c>
      <c r="M54" s="27">
        <v>87.638763876387642</v>
      </c>
      <c r="N54" s="27">
        <v>87.977595519103815</v>
      </c>
      <c r="O54" s="27">
        <v>88.368836883688374</v>
      </c>
    </row>
    <row r="55" spans="1:15" x14ac:dyDescent="0.25">
      <c r="A55" s="2">
        <v>51</v>
      </c>
      <c r="B55" s="27">
        <v>80.964289286786027</v>
      </c>
      <c r="C55" s="27">
        <v>82.226445289057807</v>
      </c>
      <c r="D55" s="27">
        <v>83.013205282112864</v>
      </c>
      <c r="E55" s="27">
        <v>83.755126537961388</v>
      </c>
      <c r="F55" s="27">
        <v>84.366873374674924</v>
      </c>
      <c r="G55" s="27">
        <v>84.856971394278858</v>
      </c>
      <c r="H55" s="27">
        <v>85.128512851285151</v>
      </c>
      <c r="I55" s="27">
        <v>85.618561856185636</v>
      </c>
      <c r="J55" s="27">
        <v>86.12</v>
      </c>
      <c r="K55" s="27">
        <v>86.657331466293257</v>
      </c>
      <c r="L55" s="27">
        <v>87.036110833249978</v>
      </c>
      <c r="M55" s="27">
        <v>87.288728872887305</v>
      </c>
      <c r="N55" s="27">
        <v>87.627525505101019</v>
      </c>
      <c r="O55" s="27">
        <v>88.008800880088017</v>
      </c>
    </row>
    <row r="56" spans="1:15" x14ac:dyDescent="0.25">
      <c r="A56" s="2">
        <v>52</v>
      </c>
      <c r="B56" s="27">
        <v>80.404121236370898</v>
      </c>
      <c r="C56" s="27">
        <v>81.696339267853574</v>
      </c>
      <c r="D56" s="27">
        <v>82.513005202080848</v>
      </c>
      <c r="E56" s="27">
        <v>83.294988496548953</v>
      </c>
      <c r="F56" s="27">
        <v>83.916783356671331</v>
      </c>
      <c r="G56" s="27">
        <v>84.426885377075408</v>
      </c>
      <c r="H56" s="27">
        <v>84.688468846884703</v>
      </c>
      <c r="I56" s="27">
        <v>85.178517851785188</v>
      </c>
      <c r="J56" s="27">
        <v>85.72</v>
      </c>
      <c r="K56" s="27">
        <v>86.287257451490291</v>
      </c>
      <c r="L56" s="27">
        <v>86.655996799039698</v>
      </c>
      <c r="M56" s="27">
        <v>86.918691869186929</v>
      </c>
      <c r="N56" s="27">
        <v>87.277455491098223</v>
      </c>
      <c r="O56" s="27">
        <v>87.65876587658768</v>
      </c>
    </row>
    <row r="57" spans="1:15" x14ac:dyDescent="0.25">
      <c r="A57" s="2">
        <v>53</v>
      </c>
      <c r="B57" s="27">
        <v>79.863959187756322</v>
      </c>
      <c r="C57" s="27">
        <v>81.186237247449483</v>
      </c>
      <c r="D57" s="27">
        <v>82.042817126850764</v>
      </c>
      <c r="E57" s="27">
        <v>82.824847454236263</v>
      </c>
      <c r="F57" s="27">
        <v>83.466693338667739</v>
      </c>
      <c r="G57" s="27">
        <v>83.986797359471893</v>
      </c>
      <c r="H57" s="27">
        <v>84.23842384238425</v>
      </c>
      <c r="I57" s="27">
        <v>84.768476847684781</v>
      </c>
      <c r="J57" s="27">
        <v>85.29</v>
      </c>
      <c r="K57" s="27">
        <v>85.917183436687338</v>
      </c>
      <c r="L57" s="27">
        <v>86.245873762128639</v>
      </c>
      <c r="M57" s="27">
        <v>86.548654865486569</v>
      </c>
      <c r="N57" s="27">
        <v>86.917383476695335</v>
      </c>
      <c r="O57" s="27">
        <v>87.328732873287336</v>
      </c>
    </row>
    <row r="58" spans="1:15" x14ac:dyDescent="0.25">
      <c r="A58" s="2">
        <v>54</v>
      </c>
      <c r="B58" s="27">
        <v>79.35380614184254</v>
      </c>
      <c r="C58" s="27">
        <v>80.706141228245642</v>
      </c>
      <c r="D58" s="27">
        <v>81.582633053221301</v>
      </c>
      <c r="E58" s="27">
        <v>82.344703411023289</v>
      </c>
      <c r="F58" s="27">
        <v>83.016603320664132</v>
      </c>
      <c r="G58" s="27">
        <v>83.526705341068208</v>
      </c>
      <c r="H58" s="27">
        <v>83.818381838183839</v>
      </c>
      <c r="I58" s="27">
        <v>84.35843584358436</v>
      </c>
      <c r="J58" s="27">
        <v>84.88</v>
      </c>
      <c r="K58" s="27">
        <v>85.507101420284044</v>
      </c>
      <c r="L58" s="27">
        <v>85.865759727918373</v>
      </c>
      <c r="M58" s="27">
        <v>86.188618861886212</v>
      </c>
      <c r="N58" s="27">
        <v>86.547309461892382</v>
      </c>
      <c r="O58" s="27">
        <v>86.998699869987007</v>
      </c>
    </row>
    <row r="59" spans="1:15" x14ac:dyDescent="0.25">
      <c r="A59" s="2">
        <v>55</v>
      </c>
      <c r="B59" s="27">
        <v>78.863659097729311</v>
      </c>
      <c r="C59" s="27">
        <v>80.216043208641722</v>
      </c>
      <c r="D59" s="27">
        <v>81.122448979591852</v>
      </c>
      <c r="E59" s="27">
        <v>81.85455636691006</v>
      </c>
      <c r="F59" s="27">
        <v>82.576515303060617</v>
      </c>
      <c r="G59" s="27">
        <v>83.056611322264459</v>
      </c>
      <c r="H59" s="27">
        <v>83.388338833883395</v>
      </c>
      <c r="I59" s="27">
        <v>83.958395839583972</v>
      </c>
      <c r="J59" s="27">
        <v>84.5</v>
      </c>
      <c r="K59" s="27">
        <v>85.097019403880765</v>
      </c>
      <c r="L59" s="27">
        <v>85.505651695508647</v>
      </c>
      <c r="M59" s="27">
        <v>85.828582858285827</v>
      </c>
      <c r="N59" s="27">
        <v>86.187237447489494</v>
      </c>
      <c r="O59" s="27">
        <v>86.658665866586674</v>
      </c>
    </row>
    <row r="60" spans="1:15" x14ac:dyDescent="0.25">
      <c r="A60" s="2">
        <v>56</v>
      </c>
      <c r="B60" s="27">
        <v>78.373512053616068</v>
      </c>
      <c r="C60" s="27">
        <v>79.675935187037396</v>
      </c>
      <c r="D60" s="27">
        <v>80.622248899559835</v>
      </c>
      <c r="E60" s="27">
        <v>81.38441532459737</v>
      </c>
      <c r="F60" s="27">
        <v>82.136427285457088</v>
      </c>
      <c r="G60" s="27">
        <v>82.616523304660916</v>
      </c>
      <c r="H60" s="27">
        <v>82.948294829482961</v>
      </c>
      <c r="I60" s="27">
        <v>83.548354835483565</v>
      </c>
      <c r="J60" s="27">
        <v>84.1</v>
      </c>
      <c r="K60" s="27">
        <v>84.706941388277656</v>
      </c>
      <c r="L60" s="27">
        <v>85.13554066219865</v>
      </c>
      <c r="M60" s="27">
        <v>85.488548854885508</v>
      </c>
      <c r="N60" s="27">
        <v>85.847169433886776</v>
      </c>
      <c r="O60" s="27">
        <v>86.308630863086321</v>
      </c>
    </row>
    <row r="61" spans="1:15" x14ac:dyDescent="0.25">
      <c r="A61" s="2">
        <v>57</v>
      </c>
      <c r="B61" s="27">
        <v>77.883365009502839</v>
      </c>
      <c r="C61" s="27">
        <v>79.125825165033007</v>
      </c>
      <c r="D61" s="27">
        <v>80.122048819527834</v>
      </c>
      <c r="E61" s="27">
        <v>80.924277283184949</v>
      </c>
      <c r="F61" s="27">
        <v>81.696339267853574</v>
      </c>
      <c r="G61" s="27">
        <v>82.186437287457494</v>
      </c>
      <c r="H61" s="27">
        <v>82.498249824982508</v>
      </c>
      <c r="I61" s="27">
        <v>83.128312831283139</v>
      </c>
      <c r="J61" s="27">
        <v>83.7</v>
      </c>
      <c r="K61" s="27">
        <v>84.316863372674533</v>
      </c>
      <c r="L61" s="27">
        <v>84.765429628888654</v>
      </c>
      <c r="M61" s="27">
        <v>85.128512851285151</v>
      </c>
      <c r="N61" s="27">
        <v>85.49709941988398</v>
      </c>
      <c r="O61" s="27">
        <v>85.958595859585969</v>
      </c>
    </row>
    <row r="62" spans="1:15" x14ac:dyDescent="0.25">
      <c r="A62" s="2">
        <v>58</v>
      </c>
      <c r="B62" s="27">
        <v>77.363208962688802</v>
      </c>
      <c r="C62" s="27">
        <v>78.605721144228852</v>
      </c>
      <c r="D62" s="27">
        <v>79.621848739495817</v>
      </c>
      <c r="E62" s="27">
        <v>80.464139241772529</v>
      </c>
      <c r="F62" s="27">
        <v>81.226245249049796</v>
      </c>
      <c r="G62" s="27">
        <v>81.746349269853965</v>
      </c>
      <c r="H62" s="27">
        <v>82.05820582058206</v>
      </c>
      <c r="I62" s="27">
        <v>82.718271827182718</v>
      </c>
      <c r="J62" s="27">
        <v>83.29</v>
      </c>
      <c r="K62" s="27">
        <v>83.916783356671331</v>
      </c>
      <c r="L62" s="27">
        <v>84.405321596478927</v>
      </c>
      <c r="M62" s="27">
        <v>84.738473847384753</v>
      </c>
      <c r="N62" s="27">
        <v>85.137027405481092</v>
      </c>
      <c r="O62" s="27">
        <v>85.618561856185636</v>
      </c>
    </row>
    <row r="63" spans="1:15" x14ac:dyDescent="0.25">
      <c r="A63" s="2">
        <v>59</v>
      </c>
      <c r="B63" s="27">
        <v>76.823046914074212</v>
      </c>
      <c r="C63" s="27">
        <v>78.175635127025402</v>
      </c>
      <c r="D63" s="27">
        <v>79.141656662665085</v>
      </c>
      <c r="E63" s="27">
        <v>80.004001200360108</v>
      </c>
      <c r="F63" s="27">
        <v>80.746149229845969</v>
      </c>
      <c r="G63" s="27">
        <v>81.306261252250451</v>
      </c>
      <c r="H63" s="27">
        <v>81.608160816081607</v>
      </c>
      <c r="I63" s="27">
        <v>82.288228822882303</v>
      </c>
      <c r="J63" s="27">
        <v>82.88</v>
      </c>
      <c r="K63" s="27">
        <v>83.51670334066813</v>
      </c>
      <c r="L63" s="27">
        <v>84.045213564069215</v>
      </c>
      <c r="M63" s="27">
        <v>84.378437843784397</v>
      </c>
      <c r="N63" s="27">
        <v>84.796959391878374</v>
      </c>
      <c r="O63" s="27">
        <v>85.298529852985311</v>
      </c>
    </row>
    <row r="64" spans="1:15" x14ac:dyDescent="0.25">
      <c r="A64" s="2">
        <v>60</v>
      </c>
      <c r="B64" s="27">
        <v>76.292887866359905</v>
      </c>
      <c r="C64" s="27">
        <v>77.725545109021795</v>
      </c>
      <c r="D64" s="27">
        <v>78.701480592236905</v>
      </c>
      <c r="E64" s="27">
        <v>79.553866159847956</v>
      </c>
      <c r="F64" s="27">
        <v>80.276055211042205</v>
      </c>
      <c r="G64" s="27">
        <v>80.866173234646922</v>
      </c>
      <c r="H64" s="27">
        <v>81.178117811781192</v>
      </c>
      <c r="I64" s="27">
        <v>81.878187818781896</v>
      </c>
      <c r="J64" s="27">
        <v>82.46</v>
      </c>
      <c r="K64" s="27">
        <v>83.10662132426485</v>
      </c>
      <c r="L64" s="27">
        <v>83.685105531659488</v>
      </c>
      <c r="M64" s="27">
        <v>84.048404840484068</v>
      </c>
      <c r="N64" s="27">
        <v>84.446889377875578</v>
      </c>
      <c r="O64" s="27">
        <v>84.968496849684968</v>
      </c>
    </row>
    <row r="65" spans="1:15" x14ac:dyDescent="0.25">
      <c r="A65" s="2">
        <v>61</v>
      </c>
      <c r="B65" s="27">
        <v>75.752725817745329</v>
      </c>
      <c r="C65" s="27">
        <v>77.215443088617718</v>
      </c>
      <c r="D65" s="27">
        <v>78.25130052020809</v>
      </c>
      <c r="E65" s="27">
        <v>79.093728118435521</v>
      </c>
      <c r="F65" s="27">
        <v>79.795959191838364</v>
      </c>
      <c r="G65" s="27">
        <v>80.426085217043408</v>
      </c>
      <c r="H65" s="27">
        <v>80.778077807780789</v>
      </c>
      <c r="I65" s="27">
        <v>81.458145814581471</v>
      </c>
      <c r="J65" s="27">
        <v>82.06</v>
      </c>
      <c r="K65" s="27">
        <v>82.716543308661727</v>
      </c>
      <c r="L65" s="27">
        <v>83.304991497449237</v>
      </c>
      <c r="M65" s="27">
        <v>83.678367836783693</v>
      </c>
      <c r="N65" s="27">
        <v>84.08681736347269</v>
      </c>
      <c r="O65" s="27">
        <v>84.638463846384639</v>
      </c>
    </row>
    <row r="66" spans="1:15" x14ac:dyDescent="0.25">
      <c r="A66" s="2">
        <v>62</v>
      </c>
      <c r="B66" s="27">
        <v>75.242572771831547</v>
      </c>
      <c r="C66" s="27">
        <v>76.685337067413485</v>
      </c>
      <c r="D66" s="27">
        <v>77.771108443377358</v>
      </c>
      <c r="E66" s="27">
        <v>78.623587076122831</v>
      </c>
      <c r="F66" s="27">
        <v>79.335867173434679</v>
      </c>
      <c r="G66" s="27">
        <v>79.985997199439879</v>
      </c>
      <c r="H66" s="27">
        <v>80.34803480348036</v>
      </c>
      <c r="I66" s="27">
        <v>81.048104810481064</v>
      </c>
      <c r="J66" s="27">
        <v>81.650000000000006</v>
      </c>
      <c r="K66" s="27">
        <v>82.356471294258853</v>
      </c>
      <c r="L66" s="27">
        <v>82.914874462338702</v>
      </c>
      <c r="M66" s="27">
        <v>83.308330833083318</v>
      </c>
      <c r="N66" s="27">
        <v>83.726745349069802</v>
      </c>
      <c r="O66" s="27">
        <v>84.308430843084324</v>
      </c>
    </row>
    <row r="67" spans="1:15" x14ac:dyDescent="0.25">
      <c r="A67" s="2">
        <v>63</v>
      </c>
      <c r="B67" s="27">
        <v>74.732419725917765</v>
      </c>
      <c r="C67" s="27">
        <v>76.215243048609722</v>
      </c>
      <c r="D67" s="27">
        <v>77.310924369747909</v>
      </c>
      <c r="E67" s="27">
        <v>78.163449034710411</v>
      </c>
      <c r="F67" s="27">
        <v>78.925785157031399</v>
      </c>
      <c r="G67" s="27">
        <v>79.545909181836365</v>
      </c>
      <c r="H67" s="27">
        <v>79.907990799079926</v>
      </c>
      <c r="I67" s="27">
        <v>80.628062806280639</v>
      </c>
      <c r="J67" s="27">
        <v>81.27</v>
      </c>
      <c r="K67" s="27">
        <v>81.96639327865573</v>
      </c>
      <c r="L67" s="27">
        <v>82.534760428128436</v>
      </c>
      <c r="M67" s="27">
        <v>82.96829682968297</v>
      </c>
      <c r="N67" s="27">
        <v>83.396679335867162</v>
      </c>
      <c r="O67" s="27">
        <v>83.978397839783995</v>
      </c>
    </row>
    <row r="68" spans="1:15" x14ac:dyDescent="0.25">
      <c r="A68" s="2">
        <v>64</v>
      </c>
      <c r="B68" s="27">
        <v>74.242272681804536</v>
      </c>
      <c r="C68" s="27">
        <v>75.765153030606115</v>
      </c>
      <c r="D68" s="27">
        <v>76.860744297719094</v>
      </c>
      <c r="E68" s="27">
        <v>77.723316995098529</v>
      </c>
      <c r="F68" s="27">
        <v>78.525705141028212</v>
      </c>
      <c r="G68" s="27">
        <v>79.115823164632914</v>
      </c>
      <c r="H68" s="27">
        <v>79.497949794979505</v>
      </c>
      <c r="I68" s="27">
        <v>80.218021802180218</v>
      </c>
      <c r="J68" s="27">
        <v>80.89</v>
      </c>
      <c r="K68" s="27">
        <v>81.546309261852372</v>
      </c>
      <c r="L68" s="27">
        <v>82.204661398419532</v>
      </c>
      <c r="M68" s="27">
        <v>82.638263826382641</v>
      </c>
      <c r="N68" s="27">
        <v>83.086617323464679</v>
      </c>
      <c r="O68" s="27">
        <v>83.648364836483665</v>
      </c>
    </row>
    <row r="69" spans="1:15" x14ac:dyDescent="0.25">
      <c r="A69" s="2">
        <v>65</v>
      </c>
      <c r="B69" s="27">
        <v>73.752125637691307</v>
      </c>
      <c r="C69" s="27">
        <v>75.295059011802351</v>
      </c>
      <c r="D69" s="27">
        <v>76.380552220888362</v>
      </c>
      <c r="E69" s="27">
        <v>77.283184955486647</v>
      </c>
      <c r="F69" s="27">
        <v>78.075615123024605</v>
      </c>
      <c r="G69" s="27">
        <v>78.685737147429478</v>
      </c>
      <c r="H69" s="27">
        <v>79.107910791079107</v>
      </c>
      <c r="I69" s="27">
        <v>79.827982798279834</v>
      </c>
      <c r="J69" s="27">
        <v>80.48</v>
      </c>
      <c r="K69" s="27">
        <v>81.166233246649327</v>
      </c>
      <c r="L69" s="27">
        <v>81.85455636691006</v>
      </c>
      <c r="M69" s="27">
        <v>82.298229822982321</v>
      </c>
      <c r="N69" s="27">
        <v>82.75655131026204</v>
      </c>
      <c r="O69" s="27">
        <v>83.318331833183336</v>
      </c>
    </row>
    <row r="70" spans="1:15" x14ac:dyDescent="0.25">
      <c r="A70" s="2">
        <v>66</v>
      </c>
      <c r="B70" s="27">
        <v>73.271981594478333</v>
      </c>
      <c r="C70" s="27">
        <v>74.834966993398666</v>
      </c>
      <c r="D70" s="27">
        <v>75.890356142456994</v>
      </c>
      <c r="E70" s="27">
        <v>76.833049914974495</v>
      </c>
      <c r="F70" s="27">
        <v>77.61552310462092</v>
      </c>
      <c r="G70" s="27">
        <v>78.255651130226042</v>
      </c>
      <c r="H70" s="27">
        <v>78.68786878687871</v>
      </c>
      <c r="I70" s="27">
        <v>79.447944794479454</v>
      </c>
      <c r="J70" s="27">
        <v>80.08</v>
      </c>
      <c r="K70" s="27">
        <v>80.826165233046609</v>
      </c>
      <c r="L70" s="27">
        <v>81.484445333600064</v>
      </c>
      <c r="M70" s="27">
        <v>81.938193819381951</v>
      </c>
      <c r="N70" s="27">
        <v>82.386477295459088</v>
      </c>
      <c r="O70" s="27">
        <v>82.988298829883007</v>
      </c>
    </row>
    <row r="71" spans="1:15" x14ac:dyDescent="0.25">
      <c r="A71" s="2">
        <v>67</v>
      </c>
      <c r="B71" s="27">
        <v>72.811843553065927</v>
      </c>
      <c r="C71" s="27">
        <v>74.374874974994995</v>
      </c>
      <c r="D71" s="27">
        <v>75.450180072028829</v>
      </c>
      <c r="E71" s="27">
        <v>76.392917875362613</v>
      </c>
      <c r="F71" s="27">
        <v>77.175435087017391</v>
      </c>
      <c r="G71" s="27">
        <v>77.83556711342267</v>
      </c>
      <c r="H71" s="27">
        <v>78.237823782378257</v>
      </c>
      <c r="I71" s="27">
        <v>79.057905790579071</v>
      </c>
      <c r="J71" s="27">
        <v>79.69</v>
      </c>
      <c r="K71" s="27">
        <v>80.476095219043799</v>
      </c>
      <c r="L71" s="27">
        <v>81.114334300290082</v>
      </c>
      <c r="M71" s="27">
        <v>81.558155815581571</v>
      </c>
      <c r="N71" s="27">
        <v>82.026405281056213</v>
      </c>
      <c r="O71" s="27">
        <v>82.628262826282651</v>
      </c>
    </row>
    <row r="72" spans="1:15" x14ac:dyDescent="0.25">
      <c r="A72" s="2">
        <v>68</v>
      </c>
      <c r="B72" s="27">
        <v>72.361708512553761</v>
      </c>
      <c r="C72" s="27">
        <v>73.884776955391075</v>
      </c>
      <c r="D72" s="27">
        <v>75.020008003201283</v>
      </c>
      <c r="E72" s="27">
        <v>75.982794838451525</v>
      </c>
      <c r="F72" s="27">
        <v>76.745349069813969</v>
      </c>
      <c r="G72" s="27">
        <v>77.405481096219248</v>
      </c>
      <c r="H72" s="27">
        <v>77.797779777977809</v>
      </c>
      <c r="I72" s="27">
        <v>78.647864786478664</v>
      </c>
      <c r="J72" s="27">
        <v>79.290000000000006</v>
      </c>
      <c r="K72" s="27">
        <v>80.096019203840768</v>
      </c>
      <c r="L72" s="27">
        <v>80.75422626788037</v>
      </c>
      <c r="M72" s="27">
        <v>81.178117811781192</v>
      </c>
      <c r="N72" s="27">
        <v>81.686337267453496</v>
      </c>
      <c r="O72" s="27">
        <v>82.288228822882303</v>
      </c>
    </row>
    <row r="73" spans="1:15" x14ac:dyDescent="0.25">
      <c r="A73" s="2">
        <v>69</v>
      </c>
      <c r="B73" s="27">
        <v>71.921576472941879</v>
      </c>
      <c r="C73" s="27">
        <v>73.414682936587326</v>
      </c>
      <c r="D73" s="27">
        <v>74.579831932773118</v>
      </c>
      <c r="E73" s="27">
        <v>75.552665799739913</v>
      </c>
      <c r="F73" s="27">
        <v>76.285257051410269</v>
      </c>
      <c r="G73" s="27">
        <v>76.975395079015797</v>
      </c>
      <c r="H73" s="27">
        <v>77.387738773877388</v>
      </c>
      <c r="I73" s="27">
        <v>78.21782178217822</v>
      </c>
      <c r="J73" s="27">
        <v>78.89</v>
      </c>
      <c r="K73" s="27">
        <v>79.685937187437489</v>
      </c>
      <c r="L73" s="27">
        <v>80.404121236370898</v>
      </c>
      <c r="M73" s="27">
        <v>80.828082808280826</v>
      </c>
      <c r="N73" s="27">
        <v>81.356271254250856</v>
      </c>
      <c r="O73" s="27">
        <v>81.958195819581974</v>
      </c>
    </row>
    <row r="74" spans="1:15" x14ac:dyDescent="0.25">
      <c r="A74" s="2">
        <v>70</v>
      </c>
      <c r="B74" s="27">
        <v>71.471441432429728</v>
      </c>
      <c r="C74" s="27">
        <v>72.984596919383876</v>
      </c>
      <c r="D74" s="27">
        <v>74.139655862344952</v>
      </c>
      <c r="E74" s="27">
        <v>75.092527758327492</v>
      </c>
      <c r="F74" s="27">
        <v>75.825165033006598</v>
      </c>
      <c r="G74" s="27">
        <v>76.545309061812361</v>
      </c>
      <c r="H74" s="27">
        <v>76.977697769776981</v>
      </c>
      <c r="I74" s="27">
        <v>77.817781778177832</v>
      </c>
      <c r="J74" s="27">
        <v>78.510000000000005</v>
      </c>
      <c r="K74" s="27">
        <v>79.295859171834365</v>
      </c>
      <c r="L74" s="27">
        <v>80.034010203060916</v>
      </c>
      <c r="M74" s="27">
        <v>80.498049804980511</v>
      </c>
      <c r="N74" s="27">
        <v>81.006201240248046</v>
      </c>
      <c r="O74" s="27">
        <v>81.618161816181626</v>
      </c>
    </row>
    <row r="75" spans="1:15" x14ac:dyDescent="0.25">
      <c r="A75" s="2">
        <v>71</v>
      </c>
      <c r="B75" s="27">
        <v>71.021306391917577</v>
      </c>
      <c r="C75" s="27">
        <v>72.534506901380269</v>
      </c>
      <c r="D75" s="27">
        <v>73.719487795118056</v>
      </c>
      <c r="E75" s="27">
        <v>74.642392717815341</v>
      </c>
      <c r="F75" s="27">
        <v>75.395079015803148</v>
      </c>
      <c r="G75" s="27">
        <v>76.115223044608911</v>
      </c>
      <c r="H75" s="27">
        <v>76.55765576557657</v>
      </c>
      <c r="I75" s="27">
        <v>77.427742774277434</v>
      </c>
      <c r="J75" s="27">
        <v>78.13</v>
      </c>
      <c r="K75" s="27">
        <v>78.955791158231634</v>
      </c>
      <c r="L75" s="27">
        <v>79.673902170651189</v>
      </c>
      <c r="M75" s="27">
        <v>80.168016801680182</v>
      </c>
      <c r="N75" s="27">
        <v>80.666133226645329</v>
      </c>
      <c r="O75" s="27">
        <v>81.288128812881297</v>
      </c>
    </row>
    <row r="76" spans="1:15" x14ac:dyDescent="0.25">
      <c r="A76" s="2">
        <v>72</v>
      </c>
      <c r="B76" s="27">
        <v>70.541162348704603</v>
      </c>
      <c r="C76" s="27">
        <v>72.074414882976598</v>
      </c>
      <c r="D76" s="27">
        <v>73.269307723089241</v>
      </c>
      <c r="E76" s="27">
        <v>74.192257677303189</v>
      </c>
      <c r="F76" s="27">
        <v>74.984996999399883</v>
      </c>
      <c r="G76" s="27">
        <v>75.695139027805567</v>
      </c>
      <c r="H76" s="27">
        <v>76.157615761576167</v>
      </c>
      <c r="I76" s="27">
        <v>77.017701770177027</v>
      </c>
      <c r="J76" s="27">
        <v>77.739999999999995</v>
      </c>
      <c r="K76" s="27">
        <v>78.595719143828759</v>
      </c>
      <c r="L76" s="27">
        <v>79.303791137341193</v>
      </c>
      <c r="M76" s="27">
        <v>79.847984798479857</v>
      </c>
      <c r="N76" s="27">
        <v>80.316063212642518</v>
      </c>
      <c r="O76" s="27">
        <v>80.958095809580968</v>
      </c>
    </row>
    <row r="77" spans="1:15" x14ac:dyDescent="0.25">
      <c r="A77" s="2">
        <v>73</v>
      </c>
      <c r="B77" s="27">
        <v>70.051015304591374</v>
      </c>
      <c r="C77" s="27">
        <v>71.654330866173225</v>
      </c>
      <c r="D77" s="27">
        <v>72.789115646258523</v>
      </c>
      <c r="E77" s="27">
        <v>73.712113634090215</v>
      </c>
      <c r="F77" s="27">
        <v>74.56491298259651</v>
      </c>
      <c r="G77" s="27">
        <v>75.275055011002209</v>
      </c>
      <c r="H77" s="27">
        <v>75.767576757675783</v>
      </c>
      <c r="I77" s="27">
        <v>76.597659765976616</v>
      </c>
      <c r="J77" s="27">
        <v>77.349999999999994</v>
      </c>
      <c r="K77" s="27">
        <v>78.205641128225636</v>
      </c>
      <c r="L77" s="27">
        <v>78.95368610583175</v>
      </c>
      <c r="M77" s="27">
        <v>79.507950795079523</v>
      </c>
      <c r="N77" s="27">
        <v>79.955991198239644</v>
      </c>
      <c r="O77" s="27">
        <v>80.628062806280639</v>
      </c>
    </row>
    <row r="78" spans="1:15" x14ac:dyDescent="0.25">
      <c r="A78" s="2">
        <v>74</v>
      </c>
      <c r="B78" s="27">
        <v>69.560868260478145</v>
      </c>
      <c r="C78" s="27">
        <v>71.214242848569711</v>
      </c>
      <c r="D78" s="27">
        <v>72.32893157262906</v>
      </c>
      <c r="E78" s="27">
        <v>73.221966589976986</v>
      </c>
      <c r="F78" s="27">
        <v>74.144828965793153</v>
      </c>
      <c r="G78" s="27">
        <v>74.844968993798759</v>
      </c>
      <c r="H78" s="27">
        <v>75.347534753475358</v>
      </c>
      <c r="I78" s="27">
        <v>76.187618761876209</v>
      </c>
      <c r="J78" s="27">
        <v>76.98</v>
      </c>
      <c r="K78" s="27">
        <v>77.825565113022606</v>
      </c>
      <c r="L78" s="27">
        <v>78.603581074322292</v>
      </c>
      <c r="M78" s="27">
        <v>79.167916791679176</v>
      </c>
      <c r="N78" s="27">
        <v>79.635927185437083</v>
      </c>
      <c r="O78" s="27">
        <v>80.318031803180332</v>
      </c>
    </row>
    <row r="79" spans="1:15" x14ac:dyDescent="0.25">
      <c r="A79" s="2">
        <v>75</v>
      </c>
      <c r="B79" s="27">
        <v>69.080724217265171</v>
      </c>
      <c r="C79" s="27">
        <v>70.754150830166026</v>
      </c>
      <c r="D79" s="27">
        <v>71.878751500600245</v>
      </c>
      <c r="E79" s="27">
        <v>72.791837551265374</v>
      </c>
      <c r="F79" s="27">
        <v>73.734746949389873</v>
      </c>
      <c r="G79" s="27">
        <v>74.444888977795557</v>
      </c>
      <c r="H79" s="27">
        <v>74.937493749374951</v>
      </c>
      <c r="I79" s="27">
        <v>75.807580758075815</v>
      </c>
      <c r="J79" s="27">
        <v>76.63</v>
      </c>
      <c r="K79" s="27">
        <v>77.455491098219639</v>
      </c>
      <c r="L79" s="27">
        <v>78.243473041912566</v>
      </c>
      <c r="M79" s="27">
        <v>78.817881788178838</v>
      </c>
      <c r="N79" s="27">
        <v>79.315863172634522</v>
      </c>
      <c r="O79" s="27">
        <v>80.008000800080026</v>
      </c>
    </row>
    <row r="80" spans="1:15" x14ac:dyDescent="0.25">
      <c r="A80" s="2">
        <v>76</v>
      </c>
      <c r="B80" s="27">
        <v>68.610583174952481</v>
      </c>
      <c r="C80" s="27">
        <v>70.294058811762355</v>
      </c>
      <c r="D80" s="27">
        <v>71.428571428571445</v>
      </c>
      <c r="E80" s="27">
        <v>72.3817145143543</v>
      </c>
      <c r="F80" s="27">
        <v>73.314662932586515</v>
      </c>
      <c r="G80" s="27">
        <v>74.044808961792356</v>
      </c>
      <c r="H80" s="27">
        <v>74.557455745574572</v>
      </c>
      <c r="I80" s="27">
        <v>75.427542754275436</v>
      </c>
      <c r="J80" s="27">
        <v>76.25</v>
      </c>
      <c r="K80" s="27">
        <v>77.105421084216843</v>
      </c>
      <c r="L80" s="27">
        <v>77.903371011303378</v>
      </c>
      <c r="M80" s="27">
        <v>78.447844784478463</v>
      </c>
      <c r="N80" s="27">
        <v>78.985797159431883</v>
      </c>
      <c r="O80" s="27">
        <v>79.707970797079724</v>
      </c>
    </row>
    <row r="81" spans="1:15" x14ac:dyDescent="0.25">
      <c r="A81" s="2">
        <v>77</v>
      </c>
      <c r="B81" s="27">
        <v>68.16044813444033</v>
      </c>
      <c r="C81" s="27">
        <v>69.823964792958591</v>
      </c>
      <c r="D81" s="27">
        <v>71.018407362945183</v>
      </c>
      <c r="E81" s="27">
        <v>71.961588476542957</v>
      </c>
      <c r="F81" s="27">
        <v>72.894578915783143</v>
      </c>
      <c r="G81" s="27">
        <v>73.624724944988998</v>
      </c>
      <c r="H81" s="27">
        <v>74.147414741474165</v>
      </c>
      <c r="I81" s="27">
        <v>75.037503750375052</v>
      </c>
      <c r="J81" s="27">
        <v>75.849999999999994</v>
      </c>
      <c r="K81" s="27">
        <v>76.71534306861372</v>
      </c>
      <c r="L81" s="27">
        <v>77.573271981594473</v>
      </c>
      <c r="M81" s="27">
        <v>78.077807780778087</v>
      </c>
      <c r="N81" s="27">
        <v>78.665733146629321</v>
      </c>
      <c r="O81" s="27">
        <v>79.3879387938794</v>
      </c>
    </row>
    <row r="82" spans="1:15" x14ac:dyDescent="0.25">
      <c r="A82" s="2">
        <v>78</v>
      </c>
      <c r="B82" s="27">
        <v>67.720316094828448</v>
      </c>
      <c r="C82" s="27">
        <v>69.333866773354657</v>
      </c>
      <c r="D82" s="27">
        <v>70.598239295718287</v>
      </c>
      <c r="E82" s="27">
        <v>71.551465439631883</v>
      </c>
      <c r="F82" s="27">
        <v>72.474494898979785</v>
      </c>
      <c r="G82" s="27">
        <v>73.194638927785562</v>
      </c>
      <c r="H82" s="27">
        <v>73.707370737073717</v>
      </c>
      <c r="I82" s="27">
        <v>74.63746374637465</v>
      </c>
      <c r="J82" s="27">
        <v>75.459999999999994</v>
      </c>
      <c r="K82" s="27">
        <v>76.325265053010597</v>
      </c>
      <c r="L82" s="27">
        <v>77.22316695008503</v>
      </c>
      <c r="M82" s="27">
        <v>77.737773777377754</v>
      </c>
      <c r="N82" s="27">
        <v>78.325665133026604</v>
      </c>
      <c r="O82" s="27">
        <v>79.067906790679075</v>
      </c>
    </row>
    <row r="83" spans="1:15" x14ac:dyDescent="0.25">
      <c r="A83" s="2">
        <v>79</v>
      </c>
      <c r="B83" s="27">
        <v>67.300190057017105</v>
      </c>
      <c r="C83" s="27">
        <v>68.883776755351079</v>
      </c>
      <c r="D83" s="27">
        <v>70.158063225290121</v>
      </c>
      <c r="E83" s="27">
        <v>71.161348404521348</v>
      </c>
      <c r="F83" s="27">
        <v>72.03440688137627</v>
      </c>
      <c r="G83" s="27">
        <v>72.774554910982204</v>
      </c>
      <c r="H83" s="27">
        <v>73.307330733073314</v>
      </c>
      <c r="I83" s="27">
        <v>74.247424742474252</v>
      </c>
      <c r="J83" s="27">
        <v>75.08</v>
      </c>
      <c r="K83" s="27">
        <v>75.95519103820763</v>
      </c>
      <c r="L83" s="27">
        <v>76.863058917675303</v>
      </c>
      <c r="M83" s="27">
        <v>77.397739773977406</v>
      </c>
      <c r="N83" s="27">
        <v>77.96559311862373</v>
      </c>
      <c r="O83" s="27">
        <v>78.727872787278741</v>
      </c>
    </row>
    <row r="84" spans="1:15" x14ac:dyDescent="0.25">
      <c r="A84" s="2">
        <v>80</v>
      </c>
      <c r="B84" s="27">
        <v>66.880064019205761</v>
      </c>
      <c r="C84" s="27">
        <v>68.493698739747956</v>
      </c>
      <c r="D84" s="27">
        <v>69.707883153261321</v>
      </c>
      <c r="E84" s="27">
        <v>70.731219365809736</v>
      </c>
      <c r="F84" s="27">
        <v>71.614322864572912</v>
      </c>
      <c r="G84" s="27">
        <v>72.374474894978988</v>
      </c>
      <c r="H84" s="27">
        <v>72.937293729372954</v>
      </c>
      <c r="I84" s="27">
        <v>73.877387738773891</v>
      </c>
      <c r="J84" s="27">
        <v>74.69</v>
      </c>
      <c r="K84" s="27">
        <v>75.605121024204834</v>
      </c>
      <c r="L84" s="27">
        <v>76.512953886165846</v>
      </c>
      <c r="M84" s="27">
        <v>77.067706770677077</v>
      </c>
      <c r="N84" s="27">
        <v>77.605521104220841</v>
      </c>
      <c r="O84" s="27">
        <v>78.377837783778389</v>
      </c>
    </row>
    <row r="85" spans="1:15" x14ac:dyDescent="0.25">
      <c r="A85" s="2">
        <v>81</v>
      </c>
      <c r="B85" s="27">
        <v>66.449934980494149</v>
      </c>
      <c r="C85" s="27">
        <v>68.103620724144832</v>
      </c>
      <c r="D85" s="27">
        <v>69.287715086034424</v>
      </c>
      <c r="E85" s="27">
        <v>70.261078323497046</v>
      </c>
      <c r="F85" s="27">
        <v>71.214242848569711</v>
      </c>
      <c r="G85" s="27">
        <v>71.974394878975787</v>
      </c>
      <c r="H85" s="27">
        <v>72.54725472547257</v>
      </c>
      <c r="I85" s="27">
        <v>73.487348734873507</v>
      </c>
      <c r="J85" s="27">
        <v>74.3</v>
      </c>
      <c r="K85" s="27">
        <v>75.235047009401882</v>
      </c>
      <c r="L85" s="27">
        <v>76.14284285285585</v>
      </c>
      <c r="M85" s="27">
        <v>76.727672767276744</v>
      </c>
      <c r="N85" s="27">
        <v>77.275455091018202</v>
      </c>
      <c r="O85" s="27">
        <v>78.04780478047806</v>
      </c>
    </row>
    <row r="86" spans="1:15" x14ac:dyDescent="0.25">
      <c r="A86" s="2">
        <v>82</v>
      </c>
      <c r="B86" s="27">
        <v>66.029808942682806</v>
      </c>
      <c r="C86" s="27">
        <v>67.703540708141617</v>
      </c>
      <c r="D86" s="27">
        <v>68.867547018807542</v>
      </c>
      <c r="E86" s="27">
        <v>69.840952285685688</v>
      </c>
      <c r="F86" s="27">
        <v>70.81416283256651</v>
      </c>
      <c r="G86" s="27">
        <v>71.574314862972599</v>
      </c>
      <c r="H86" s="27">
        <v>72.157215721572172</v>
      </c>
      <c r="I86" s="27">
        <v>73.107310731073113</v>
      </c>
      <c r="J86" s="27">
        <v>73.92</v>
      </c>
      <c r="K86" s="27">
        <v>74.854970994198837</v>
      </c>
      <c r="L86" s="27">
        <v>75.782734820446137</v>
      </c>
      <c r="M86" s="27">
        <v>76.397639763976414</v>
      </c>
      <c r="N86" s="27">
        <v>76.945389077815562</v>
      </c>
      <c r="O86" s="27">
        <v>77.737773777377754</v>
      </c>
    </row>
    <row r="87" spans="1:15" x14ac:dyDescent="0.25">
      <c r="A87" s="2">
        <v>83</v>
      </c>
      <c r="B87" s="27">
        <v>65.579673902170654</v>
      </c>
      <c r="C87" s="27">
        <v>67.313462692538508</v>
      </c>
      <c r="D87" s="27">
        <v>68.467386954781915</v>
      </c>
      <c r="E87" s="27">
        <v>69.460838251475437</v>
      </c>
      <c r="F87" s="27">
        <v>70.374074814962995</v>
      </c>
      <c r="G87" s="27">
        <v>71.16423284656932</v>
      </c>
      <c r="H87" s="27">
        <v>71.727172717271742</v>
      </c>
      <c r="I87" s="27">
        <v>72.747274727472757</v>
      </c>
      <c r="J87" s="27">
        <v>73.55</v>
      </c>
      <c r="K87" s="27">
        <v>74.48489697939587</v>
      </c>
      <c r="L87" s="27">
        <v>75.422626788036411</v>
      </c>
      <c r="M87" s="27">
        <v>76.057605760576067</v>
      </c>
      <c r="N87" s="27">
        <v>76.615323064612909</v>
      </c>
      <c r="O87" s="27">
        <v>77.437743774377452</v>
      </c>
    </row>
    <row r="88" spans="1:15" x14ac:dyDescent="0.25">
      <c r="A88" s="2">
        <v>84</v>
      </c>
      <c r="B88" s="27">
        <v>65.129538861658489</v>
      </c>
      <c r="C88" s="27">
        <v>66.923384676935385</v>
      </c>
      <c r="D88" s="27">
        <v>68.067226890756316</v>
      </c>
      <c r="E88" s="27">
        <v>69.070721216364902</v>
      </c>
      <c r="F88" s="27">
        <v>69.963992798559715</v>
      </c>
      <c r="G88" s="27">
        <v>70.754150830166026</v>
      </c>
      <c r="H88" s="27">
        <v>71.307130713071317</v>
      </c>
      <c r="I88" s="27">
        <v>72.387238723872386</v>
      </c>
      <c r="J88" s="27">
        <v>73.180000000000007</v>
      </c>
      <c r="K88" s="27">
        <v>74.124824964992996</v>
      </c>
      <c r="L88" s="27">
        <v>75.082524757427223</v>
      </c>
      <c r="M88" s="27">
        <v>75.727572757275738</v>
      </c>
      <c r="N88" s="27">
        <v>76.30526105221044</v>
      </c>
      <c r="O88" s="27">
        <v>77.107710771077109</v>
      </c>
    </row>
    <row r="89" spans="1:15" x14ac:dyDescent="0.25">
      <c r="A89" s="2">
        <v>85</v>
      </c>
      <c r="B89" s="27">
        <v>64.689406822046607</v>
      </c>
      <c r="C89" s="27">
        <v>66.493298659731948</v>
      </c>
      <c r="D89" s="27">
        <v>67.657062825130055</v>
      </c>
      <c r="E89" s="27">
        <v>68.63058917675302</v>
      </c>
      <c r="F89" s="27">
        <v>69.573914782956592</v>
      </c>
      <c r="G89" s="27">
        <v>70.364072814562903</v>
      </c>
      <c r="H89" s="27">
        <v>70.907090709070928</v>
      </c>
      <c r="I89" s="27">
        <v>71.987198719871998</v>
      </c>
      <c r="J89" s="27">
        <v>72.81</v>
      </c>
      <c r="K89" s="27">
        <v>73.734746949389873</v>
      </c>
      <c r="L89" s="27">
        <v>74.752425727718318</v>
      </c>
      <c r="M89" s="27">
        <v>75.407540754075427</v>
      </c>
      <c r="N89" s="27">
        <v>75.995199039807957</v>
      </c>
      <c r="O89" s="27">
        <v>76.77767776777678</v>
      </c>
    </row>
    <row r="90" spans="1:15" x14ac:dyDescent="0.25">
      <c r="A90" s="2">
        <v>86</v>
      </c>
      <c r="B90" s="27">
        <v>64.249274782434725</v>
      </c>
      <c r="C90" s="27">
        <v>66.033206641328263</v>
      </c>
      <c r="D90" s="27">
        <v>67.246898759503807</v>
      </c>
      <c r="E90" s="27">
        <v>68.210463138941677</v>
      </c>
      <c r="F90" s="27">
        <v>69.173834766953391</v>
      </c>
      <c r="G90" s="27">
        <v>69.973994798959779</v>
      </c>
      <c r="H90" s="27">
        <v>70.51705170517053</v>
      </c>
      <c r="I90" s="27">
        <v>71.597159715971614</v>
      </c>
      <c r="J90" s="27">
        <v>72.44</v>
      </c>
      <c r="K90" s="27">
        <v>73.384676935387077</v>
      </c>
      <c r="L90" s="27">
        <v>74.41232369710913</v>
      </c>
      <c r="M90" s="27">
        <v>75.067506750675079</v>
      </c>
      <c r="N90" s="27">
        <v>75.685137027405474</v>
      </c>
      <c r="O90" s="27">
        <v>76.467646764676473</v>
      </c>
    </row>
    <row r="91" spans="1:15" x14ac:dyDescent="0.25">
      <c r="A91" s="2">
        <v>87</v>
      </c>
      <c r="B91" s="27">
        <v>63.829148744623382</v>
      </c>
      <c r="C91" s="27">
        <v>65.583116623324656</v>
      </c>
      <c r="D91" s="27">
        <v>66.826730692276925</v>
      </c>
      <c r="E91" s="27">
        <v>67.810343102930887</v>
      </c>
      <c r="F91" s="27">
        <v>68.773754750950189</v>
      </c>
      <c r="G91" s="27">
        <v>69.593918783756749</v>
      </c>
      <c r="H91" s="27">
        <v>70.137013701370137</v>
      </c>
      <c r="I91" s="27">
        <v>71.197119711971212</v>
      </c>
      <c r="J91" s="27">
        <v>72.06</v>
      </c>
      <c r="K91" s="27">
        <v>73.054610922184438</v>
      </c>
      <c r="L91" s="27">
        <v>74.052215664699403</v>
      </c>
      <c r="M91" s="27">
        <v>74.717471747174727</v>
      </c>
      <c r="N91" s="27">
        <v>75.3250650130026</v>
      </c>
      <c r="O91" s="27">
        <v>76.157615761576167</v>
      </c>
    </row>
    <row r="92" spans="1:15" x14ac:dyDescent="0.25">
      <c r="A92" s="2">
        <v>88</v>
      </c>
      <c r="B92" s="27">
        <v>63.419025707712308</v>
      </c>
      <c r="C92" s="27">
        <v>65.183036607321469</v>
      </c>
      <c r="D92" s="27">
        <v>66.386554621848745</v>
      </c>
      <c r="E92" s="27">
        <v>67.400220066019799</v>
      </c>
      <c r="F92" s="27">
        <v>68.383676735347066</v>
      </c>
      <c r="G92" s="27">
        <v>69.193838767753562</v>
      </c>
      <c r="H92" s="27">
        <v>69.746974697469753</v>
      </c>
      <c r="I92" s="27">
        <v>70.817081708170832</v>
      </c>
      <c r="J92" s="27">
        <v>71.680000000000007</v>
      </c>
      <c r="K92" s="27">
        <v>72.704540908181627</v>
      </c>
      <c r="L92" s="27">
        <v>73.692107632289691</v>
      </c>
      <c r="M92" s="27">
        <v>74.377437743774394</v>
      </c>
      <c r="N92" s="27">
        <v>74.97499499899979</v>
      </c>
      <c r="O92" s="27">
        <v>75.837583758375843</v>
      </c>
    </row>
    <row r="93" spans="1:15" x14ac:dyDescent="0.25">
      <c r="A93" s="2">
        <v>89</v>
      </c>
      <c r="B93" s="27">
        <v>63.018905671701503</v>
      </c>
      <c r="C93" s="27">
        <v>64.812962592518502</v>
      </c>
      <c r="D93" s="27">
        <v>65.936374549819931</v>
      </c>
      <c r="E93" s="27">
        <v>66.970091027308186</v>
      </c>
      <c r="F93" s="27">
        <v>67.973594718943787</v>
      </c>
      <c r="G93" s="27">
        <v>68.783756751350268</v>
      </c>
      <c r="H93" s="27">
        <v>69.346934693469365</v>
      </c>
      <c r="I93" s="27">
        <v>70.447044704470457</v>
      </c>
      <c r="J93" s="27">
        <v>71.33</v>
      </c>
      <c r="K93" s="27">
        <v>72.344468893778753</v>
      </c>
      <c r="L93" s="27">
        <v>73.352005601680503</v>
      </c>
      <c r="M93" s="27">
        <v>74.047404740474065</v>
      </c>
      <c r="N93" s="27">
        <v>74.664932986597321</v>
      </c>
      <c r="O93" s="27">
        <v>75.537553755375555</v>
      </c>
    </row>
    <row r="94" spans="1:15" x14ac:dyDescent="0.25">
      <c r="A94" s="2">
        <v>90</v>
      </c>
      <c r="B94" s="27">
        <v>62.618785635690706</v>
      </c>
      <c r="C94" s="27">
        <v>64.382876575315066</v>
      </c>
      <c r="D94" s="27">
        <v>65.536214485794332</v>
      </c>
      <c r="E94" s="27">
        <v>66.549964989496843</v>
      </c>
      <c r="F94" s="27">
        <v>67.553510702140429</v>
      </c>
      <c r="G94" s="27">
        <v>68.393678735747145</v>
      </c>
      <c r="H94" s="27">
        <v>68.966896689668971</v>
      </c>
      <c r="I94" s="27">
        <v>70.087008700870101</v>
      </c>
      <c r="J94" s="27">
        <v>70.98</v>
      </c>
      <c r="K94" s="27">
        <v>72.004400880176021</v>
      </c>
      <c r="L94" s="27">
        <v>73.011903571071315</v>
      </c>
      <c r="M94" s="27">
        <v>73.72737273727374</v>
      </c>
      <c r="N94" s="27">
        <v>74.364872974594917</v>
      </c>
      <c r="O94" s="27">
        <v>75.227522752275235</v>
      </c>
    </row>
    <row r="95" spans="1:15" x14ac:dyDescent="0.25">
      <c r="A95" s="2">
        <v>91</v>
      </c>
      <c r="B95" s="27">
        <v>62.228668600580171</v>
      </c>
      <c r="C95" s="27">
        <v>63.922784556911374</v>
      </c>
      <c r="D95" s="27">
        <v>65.146058423369368</v>
      </c>
      <c r="E95" s="27">
        <v>66.149844953486038</v>
      </c>
      <c r="F95" s="27">
        <v>67.153430686137227</v>
      </c>
      <c r="G95" s="27">
        <v>68.003600720144021</v>
      </c>
      <c r="H95" s="27">
        <v>68.59685968596861</v>
      </c>
      <c r="I95" s="27">
        <v>69.706970697069721</v>
      </c>
      <c r="J95" s="27">
        <v>70.64</v>
      </c>
      <c r="K95" s="27">
        <v>71.664332866573318</v>
      </c>
      <c r="L95" s="27">
        <v>72.651795538661588</v>
      </c>
      <c r="M95" s="27">
        <v>73.397339733973411</v>
      </c>
      <c r="N95" s="27">
        <v>74.044808961792356</v>
      </c>
      <c r="O95" s="27">
        <v>74.907490749074924</v>
      </c>
    </row>
    <row r="96" spans="1:15" x14ac:dyDescent="0.25">
      <c r="A96" s="2">
        <v>92</v>
      </c>
      <c r="B96" s="27">
        <v>61.848554566369906</v>
      </c>
      <c r="C96" s="27">
        <v>63.552710542108422</v>
      </c>
      <c r="D96" s="27">
        <v>64.765906362545024</v>
      </c>
      <c r="E96" s="27">
        <v>65.759727918375503</v>
      </c>
      <c r="F96" s="27">
        <v>66.783356671334261</v>
      </c>
      <c r="G96" s="27">
        <v>67.643528705741147</v>
      </c>
      <c r="H96" s="27">
        <v>68.196819681968208</v>
      </c>
      <c r="I96" s="27">
        <v>69.326932693269328</v>
      </c>
      <c r="J96" s="27">
        <v>70.27</v>
      </c>
      <c r="K96" s="27">
        <v>71.334266853370664</v>
      </c>
      <c r="L96" s="27">
        <v>72.311693508052414</v>
      </c>
      <c r="M96" s="27">
        <v>73.057305730573063</v>
      </c>
      <c r="N96" s="27">
        <v>73.734746949389873</v>
      </c>
      <c r="O96" s="27">
        <v>74.597459745974618</v>
      </c>
    </row>
    <row r="97" spans="1:15" x14ac:dyDescent="0.25">
      <c r="A97" s="2">
        <v>93</v>
      </c>
      <c r="B97" s="27">
        <v>61.458437531259371</v>
      </c>
      <c r="C97" s="27">
        <v>63.212642528505704</v>
      </c>
      <c r="D97" s="27">
        <v>64.365746298519426</v>
      </c>
      <c r="E97" s="27">
        <v>65.389616885065522</v>
      </c>
      <c r="F97" s="27">
        <v>66.40328065613123</v>
      </c>
      <c r="G97" s="27">
        <v>67.273454690938195</v>
      </c>
      <c r="H97" s="27">
        <v>67.816781678167828</v>
      </c>
      <c r="I97" s="27">
        <v>68.956895689568967</v>
      </c>
      <c r="J97" s="27">
        <v>69.89</v>
      </c>
      <c r="K97" s="27">
        <v>70.97419483896779</v>
      </c>
      <c r="L97" s="27">
        <v>71.991597479243765</v>
      </c>
      <c r="M97" s="27">
        <v>72.727272727272734</v>
      </c>
      <c r="N97" s="27">
        <v>73.404680936187233</v>
      </c>
      <c r="O97" s="27">
        <v>74.277427742774279</v>
      </c>
    </row>
    <row r="98" spans="1:15" x14ac:dyDescent="0.25">
      <c r="A98" s="2">
        <v>94</v>
      </c>
      <c r="B98" s="27">
        <v>61.068320496148836</v>
      </c>
      <c r="C98" s="27">
        <v>62.812562512502495</v>
      </c>
      <c r="D98" s="27">
        <v>63.965586234493806</v>
      </c>
      <c r="E98" s="27">
        <v>64.999499849954987</v>
      </c>
      <c r="F98" s="27">
        <v>66.003200640128014</v>
      </c>
      <c r="G98" s="27">
        <v>66.903380676135228</v>
      </c>
      <c r="H98" s="27">
        <v>67.436743674367449</v>
      </c>
      <c r="I98" s="27">
        <v>68.59685968596861</v>
      </c>
      <c r="J98" s="27">
        <v>69.53</v>
      </c>
      <c r="K98" s="27">
        <v>70.584116823364667</v>
      </c>
      <c r="L98" s="27">
        <v>71.661498449534861</v>
      </c>
      <c r="M98" s="27">
        <v>72.387238723872386</v>
      </c>
      <c r="N98" s="27">
        <v>73.064612922584516</v>
      </c>
      <c r="O98" s="27">
        <v>73.967396739673973</v>
      </c>
    </row>
    <row r="99" spans="1:15" x14ac:dyDescent="0.25">
      <c r="A99" s="2">
        <v>95</v>
      </c>
      <c r="B99" s="27">
        <v>60.678203461038301</v>
      </c>
      <c r="C99" s="27">
        <v>62.372474494898974</v>
      </c>
      <c r="D99" s="27">
        <v>63.575430172068835</v>
      </c>
      <c r="E99" s="27">
        <v>64.609382814844452</v>
      </c>
      <c r="F99" s="27">
        <v>65.603120624124827</v>
      </c>
      <c r="G99" s="27">
        <v>66.523304660932183</v>
      </c>
      <c r="H99" s="27">
        <v>67.056705670567069</v>
      </c>
      <c r="I99" s="27">
        <v>68.246824682468258</v>
      </c>
      <c r="J99" s="27">
        <v>69.17</v>
      </c>
      <c r="K99" s="27">
        <v>70.214042808561715</v>
      </c>
      <c r="L99" s="27">
        <v>71.321396418925673</v>
      </c>
      <c r="M99" s="27">
        <v>72.057205720572071</v>
      </c>
      <c r="N99" s="27">
        <v>72.734546909381876</v>
      </c>
      <c r="O99" s="27">
        <v>73.667366736673671</v>
      </c>
    </row>
    <row r="100" spans="1:15" x14ac:dyDescent="0.25">
      <c r="A100" s="2">
        <v>96</v>
      </c>
      <c r="B100" s="27">
        <v>60.268080424127234</v>
      </c>
      <c r="C100" s="27">
        <v>61.932386477295459</v>
      </c>
      <c r="D100" s="27">
        <v>63.195278111244512</v>
      </c>
      <c r="E100" s="27">
        <v>64.249274782434725</v>
      </c>
      <c r="F100" s="27">
        <v>65.23304660932186</v>
      </c>
      <c r="G100" s="27">
        <v>66.143228645729138</v>
      </c>
      <c r="H100" s="27">
        <v>66.686668666866709</v>
      </c>
      <c r="I100" s="27">
        <v>67.866786678667879</v>
      </c>
      <c r="J100" s="27">
        <v>68.8</v>
      </c>
      <c r="K100" s="27">
        <v>69.883976795359075</v>
      </c>
      <c r="L100" s="27">
        <v>70.981294388316485</v>
      </c>
      <c r="M100" s="27">
        <v>71.737173717371746</v>
      </c>
      <c r="N100" s="27">
        <v>72.414482896579315</v>
      </c>
      <c r="O100" s="27">
        <v>73.357335733573365</v>
      </c>
    </row>
    <row r="101" spans="1:15" x14ac:dyDescent="0.25">
      <c r="A101" s="2">
        <v>97</v>
      </c>
      <c r="B101" s="27">
        <v>59.857957387216167</v>
      </c>
      <c r="C101" s="27">
        <v>61.502300460092016</v>
      </c>
      <c r="D101" s="27">
        <v>62.795118047218899</v>
      </c>
      <c r="E101" s="27">
        <v>63.869160748224466</v>
      </c>
      <c r="F101" s="27">
        <v>64.862972594518894</v>
      </c>
      <c r="G101" s="27">
        <v>65.753150630126015</v>
      </c>
      <c r="H101" s="27">
        <v>66.336633663366342</v>
      </c>
      <c r="I101" s="27">
        <v>67.496749674967504</v>
      </c>
      <c r="J101" s="27">
        <v>68.430000000000007</v>
      </c>
      <c r="K101" s="27">
        <v>69.533906781356265</v>
      </c>
      <c r="L101" s="27">
        <v>70.66119835950785</v>
      </c>
      <c r="M101" s="27">
        <v>71.42714271427144</v>
      </c>
      <c r="N101" s="27">
        <v>72.104420884176832</v>
      </c>
      <c r="O101" s="27">
        <v>73.057305730573063</v>
      </c>
    </row>
    <row r="102" spans="1:15" x14ac:dyDescent="0.25">
      <c r="A102" s="2">
        <v>98</v>
      </c>
      <c r="B102" s="27">
        <v>59.447834350305087</v>
      </c>
      <c r="C102" s="27">
        <v>61.142228445689135</v>
      </c>
      <c r="D102" s="27">
        <v>62.41496598639457</v>
      </c>
      <c r="E102" s="27">
        <v>63.459037711313385</v>
      </c>
      <c r="F102" s="27">
        <v>64.472894578915771</v>
      </c>
      <c r="G102" s="27">
        <v>65.373074614922984</v>
      </c>
      <c r="H102" s="27">
        <v>65.956595659565963</v>
      </c>
      <c r="I102" s="27">
        <v>67.136713671367147</v>
      </c>
      <c r="J102" s="27">
        <v>68.069999999999993</v>
      </c>
      <c r="K102" s="27">
        <v>69.183836767353469</v>
      </c>
      <c r="L102" s="27">
        <v>70.331099329798931</v>
      </c>
      <c r="M102" s="27">
        <v>71.097109710971111</v>
      </c>
      <c r="N102" s="27">
        <v>71.794358871774349</v>
      </c>
      <c r="O102" s="27">
        <v>72.737273727372752</v>
      </c>
    </row>
    <row r="103" spans="1:15" x14ac:dyDescent="0.25">
      <c r="A103" s="2">
        <v>99</v>
      </c>
      <c r="B103" s="27">
        <v>59.047714314294282</v>
      </c>
      <c r="C103" s="27">
        <v>60.812162432486488</v>
      </c>
      <c r="D103" s="27">
        <v>62.034813925570234</v>
      </c>
      <c r="E103" s="27">
        <v>63.048914674402319</v>
      </c>
      <c r="F103" s="27">
        <v>64.082816563312647</v>
      </c>
      <c r="G103" s="27">
        <v>64.99299859971994</v>
      </c>
      <c r="H103" s="27">
        <v>65.566556655665579</v>
      </c>
      <c r="I103" s="27">
        <v>66.786678667866795</v>
      </c>
      <c r="J103" s="27">
        <v>67.72</v>
      </c>
      <c r="K103" s="27">
        <v>68.823764752950595</v>
      </c>
      <c r="L103" s="27">
        <v>69.980994298289474</v>
      </c>
      <c r="M103" s="27">
        <v>70.777077707770786</v>
      </c>
      <c r="N103" s="27">
        <v>71.494298859771959</v>
      </c>
      <c r="O103" s="27">
        <v>72.417241724172428</v>
      </c>
    </row>
    <row r="104" spans="1:15" x14ac:dyDescent="0.25">
      <c r="A104" s="2">
        <v>100</v>
      </c>
      <c r="B104" s="27">
        <v>58.667600280084017</v>
      </c>
      <c r="C104" s="27">
        <v>60.452090418083614</v>
      </c>
      <c r="D104" s="27">
        <v>61.654661864745911</v>
      </c>
      <c r="E104" s="27">
        <v>62.668800640192053</v>
      </c>
      <c r="F104" s="27">
        <v>63.68273654730946</v>
      </c>
      <c r="G104" s="27">
        <v>64.612922584516895</v>
      </c>
      <c r="H104" s="27">
        <v>65.206520652065223</v>
      </c>
      <c r="I104" s="27">
        <v>66.436643664366457</v>
      </c>
      <c r="J104" s="27">
        <v>67.37</v>
      </c>
      <c r="K104" s="27">
        <v>68.483696739347863</v>
      </c>
      <c r="L104" s="27">
        <v>69.6408922676803</v>
      </c>
      <c r="M104" s="27">
        <v>70.467046704670466</v>
      </c>
      <c r="N104" s="27">
        <v>71.174234846969384</v>
      </c>
      <c r="O104" s="27">
        <v>72.107210721072107</v>
      </c>
    </row>
    <row r="105" spans="1:15" x14ac:dyDescent="0.25">
      <c r="A105" s="2">
        <v>101</v>
      </c>
      <c r="B105" s="27">
        <v>58.317495248574566</v>
      </c>
      <c r="C105" s="27">
        <v>60.072014402880576</v>
      </c>
      <c r="D105" s="27">
        <v>61.26450580232094</v>
      </c>
      <c r="E105" s="27">
        <v>62.298689606882064</v>
      </c>
      <c r="F105" s="27">
        <v>63.312662532506494</v>
      </c>
      <c r="G105" s="27">
        <v>64.242848569713942</v>
      </c>
      <c r="H105" s="27">
        <v>64.846484648464852</v>
      </c>
      <c r="I105" s="27">
        <v>66.086608660866091</v>
      </c>
      <c r="J105" s="27">
        <v>67.010000000000005</v>
      </c>
      <c r="K105" s="27">
        <v>68.143628725745145</v>
      </c>
      <c r="L105" s="27">
        <v>69.320796238871651</v>
      </c>
      <c r="M105" s="27">
        <v>70.147014701470155</v>
      </c>
      <c r="N105" s="27">
        <v>70.824164832966588</v>
      </c>
      <c r="O105" s="27">
        <v>71.817181718171824</v>
      </c>
    </row>
    <row r="106" spans="1:15" x14ac:dyDescent="0.25">
      <c r="A106" s="2">
        <v>102</v>
      </c>
      <c r="B106" s="27">
        <v>57.967390217065116</v>
      </c>
      <c r="C106" s="27">
        <v>59.70194038807761</v>
      </c>
      <c r="D106" s="27">
        <v>60.874349739895969</v>
      </c>
      <c r="E106" s="27">
        <v>61.908572571771529</v>
      </c>
      <c r="F106" s="27">
        <v>62.952590518103612</v>
      </c>
      <c r="G106" s="27">
        <v>63.882776555311054</v>
      </c>
      <c r="H106" s="27">
        <v>64.486448644864495</v>
      </c>
      <c r="I106" s="27">
        <v>65.706570657065726</v>
      </c>
      <c r="J106" s="27">
        <v>66.67</v>
      </c>
      <c r="K106" s="27">
        <v>67.813562712542506</v>
      </c>
      <c r="L106" s="27">
        <v>68.990697209162747</v>
      </c>
      <c r="M106" s="27">
        <v>69.816981698169826</v>
      </c>
      <c r="N106" s="27">
        <v>70.494098819763948</v>
      </c>
      <c r="O106" s="27">
        <v>71.517151715171536</v>
      </c>
    </row>
    <row r="107" spans="1:15" x14ac:dyDescent="0.25">
      <c r="A107" s="2">
        <v>103</v>
      </c>
      <c r="B107" s="27">
        <v>57.627288186455935</v>
      </c>
      <c r="C107" s="27">
        <v>59.33186637327465</v>
      </c>
      <c r="D107" s="27">
        <v>60.484193677470998</v>
      </c>
      <c r="E107" s="27">
        <v>61.528458537561264</v>
      </c>
      <c r="F107" s="27">
        <v>62.612522504500902</v>
      </c>
      <c r="G107" s="27">
        <v>63.532706541308265</v>
      </c>
      <c r="H107" s="27">
        <v>64.126412641264139</v>
      </c>
      <c r="I107" s="27">
        <v>65.346534653465355</v>
      </c>
      <c r="J107" s="27">
        <v>66.319999999999993</v>
      </c>
      <c r="K107" s="27">
        <v>67.473494698939774</v>
      </c>
      <c r="L107" s="27">
        <v>68.660598179453828</v>
      </c>
      <c r="M107" s="27">
        <v>69.516951695169539</v>
      </c>
      <c r="N107" s="27">
        <v>70.204040808161622</v>
      </c>
      <c r="O107" s="27">
        <v>71.21712171217122</v>
      </c>
    </row>
    <row r="108" spans="1:15" x14ac:dyDescent="0.25">
      <c r="A108" s="2">
        <v>104</v>
      </c>
      <c r="B108" s="27">
        <v>57.277183154946478</v>
      </c>
      <c r="C108" s="27">
        <v>58.971794358871776</v>
      </c>
      <c r="D108" s="27">
        <v>60.104041616646668</v>
      </c>
      <c r="E108" s="27">
        <v>61.158347504251275</v>
      </c>
      <c r="F108" s="27">
        <v>62.242448489697935</v>
      </c>
      <c r="G108" s="27">
        <v>63.162632526505298</v>
      </c>
      <c r="H108" s="27">
        <v>63.746374637463759</v>
      </c>
      <c r="I108" s="27">
        <v>65.006500650065021</v>
      </c>
      <c r="J108" s="27">
        <v>65.97</v>
      </c>
      <c r="K108" s="27">
        <v>67.143428685737135</v>
      </c>
      <c r="L108" s="27">
        <v>68.340502150645179</v>
      </c>
      <c r="M108" s="27">
        <v>69.216921692169223</v>
      </c>
      <c r="N108" s="27">
        <v>69.893978795759139</v>
      </c>
      <c r="O108" s="27">
        <v>70.887088708870891</v>
      </c>
    </row>
    <row r="109" spans="1:15" x14ac:dyDescent="0.25">
      <c r="A109" s="2">
        <v>105</v>
      </c>
      <c r="B109" s="27">
        <v>56.897069120736219</v>
      </c>
      <c r="C109" s="27">
        <v>58.581716343268653</v>
      </c>
      <c r="D109" s="27">
        <v>59.743897559023615</v>
      </c>
      <c r="E109" s="27">
        <v>60.778233470041009</v>
      </c>
      <c r="F109" s="27">
        <v>61.852370474094819</v>
      </c>
      <c r="G109" s="27">
        <v>62.782556511302261</v>
      </c>
      <c r="H109" s="27">
        <v>63.386338633863396</v>
      </c>
      <c r="I109" s="27">
        <v>64.666466646664674</v>
      </c>
      <c r="J109" s="27">
        <v>65.63</v>
      </c>
      <c r="K109" s="27">
        <v>66.813362672534495</v>
      </c>
      <c r="L109" s="27">
        <v>68.030409122736827</v>
      </c>
      <c r="M109" s="27">
        <v>68.916891689168921</v>
      </c>
      <c r="N109" s="27">
        <v>69.573914782956592</v>
      </c>
      <c r="O109" s="27">
        <v>70.577057705770585</v>
      </c>
    </row>
    <row r="110" spans="1:15" x14ac:dyDescent="0.25">
      <c r="A110" s="2">
        <v>106</v>
      </c>
      <c r="B110" s="27">
        <v>56.506952085625684</v>
      </c>
      <c r="C110" s="27">
        <v>58.181636327265451</v>
      </c>
      <c r="D110" s="27">
        <v>59.403761504601853</v>
      </c>
      <c r="E110" s="27">
        <v>60.418125437631282</v>
      </c>
      <c r="F110" s="27">
        <v>61.462292458491696</v>
      </c>
      <c r="G110" s="27">
        <v>62.412482496499294</v>
      </c>
      <c r="H110" s="27">
        <v>63.046304630463055</v>
      </c>
      <c r="I110" s="27">
        <v>64.296429642964313</v>
      </c>
      <c r="J110" s="27">
        <v>65.28</v>
      </c>
      <c r="K110" s="27">
        <v>66.483296659331856</v>
      </c>
      <c r="L110" s="27">
        <v>67.710313093928178</v>
      </c>
      <c r="M110" s="27">
        <v>68.59685968596861</v>
      </c>
      <c r="N110" s="27">
        <v>69.253850770154017</v>
      </c>
      <c r="O110" s="27">
        <v>70.277027702770283</v>
      </c>
    </row>
    <row r="111" spans="1:15" x14ac:dyDescent="0.25">
      <c r="A111" s="2">
        <v>107</v>
      </c>
      <c r="B111" s="27">
        <v>56.106832049614887</v>
      </c>
      <c r="C111" s="27">
        <v>57.811562312462485</v>
      </c>
      <c r="D111" s="27">
        <v>59.023609443777524</v>
      </c>
      <c r="E111" s="27">
        <v>60.088026407922371</v>
      </c>
      <c r="F111" s="27">
        <v>61.1122224444889</v>
      </c>
      <c r="G111" s="27">
        <v>62.042408481696334</v>
      </c>
      <c r="H111" s="27">
        <v>62.716271627162726</v>
      </c>
      <c r="I111" s="27">
        <v>63.946394639463954</v>
      </c>
      <c r="J111" s="27">
        <v>64.94</v>
      </c>
      <c r="K111" s="27">
        <v>66.133226645329074</v>
      </c>
      <c r="L111" s="27">
        <v>67.390217065119529</v>
      </c>
      <c r="M111" s="27">
        <v>68.286828682868304</v>
      </c>
      <c r="N111" s="27">
        <v>68.963792758551705</v>
      </c>
      <c r="O111" s="27">
        <v>69.996999699970004</v>
      </c>
    </row>
    <row r="112" spans="1:15" x14ac:dyDescent="0.25">
      <c r="A112" s="2">
        <v>108</v>
      </c>
      <c r="B112" s="27">
        <v>55.716715014504352</v>
      </c>
      <c r="C112" s="27">
        <v>57.481496299259845</v>
      </c>
      <c r="D112" s="27">
        <v>58.653461384553836</v>
      </c>
      <c r="E112" s="27">
        <v>59.767930379113729</v>
      </c>
      <c r="F112" s="27">
        <v>60.752150430086019</v>
      </c>
      <c r="G112" s="27">
        <v>61.68233646729346</v>
      </c>
      <c r="H112" s="27">
        <v>62.35623562356237</v>
      </c>
      <c r="I112" s="27">
        <v>63.616361636163624</v>
      </c>
      <c r="J112" s="27">
        <v>64.61</v>
      </c>
      <c r="K112" s="27">
        <v>65.783156631326264</v>
      </c>
      <c r="L112" s="27">
        <v>67.050115034510355</v>
      </c>
      <c r="M112" s="27">
        <v>67.966796679667965</v>
      </c>
      <c r="N112" s="27">
        <v>68.653730746149222</v>
      </c>
      <c r="O112" s="27">
        <v>69.696969696969703</v>
      </c>
    </row>
    <row r="113" spans="1:15" x14ac:dyDescent="0.25">
      <c r="A113" s="2">
        <v>109</v>
      </c>
      <c r="B113" s="27">
        <v>55.326597979393817</v>
      </c>
      <c r="C113" s="27">
        <v>57.111422284456893</v>
      </c>
      <c r="D113" s="27">
        <v>58.283313325330141</v>
      </c>
      <c r="E113" s="27">
        <v>59.39781934580374</v>
      </c>
      <c r="F113" s="27">
        <v>60.382076415283052</v>
      </c>
      <c r="G113" s="27">
        <v>61.332266453290657</v>
      </c>
      <c r="H113" s="27">
        <v>61.986198619861995</v>
      </c>
      <c r="I113" s="27">
        <v>63.276327632763291</v>
      </c>
      <c r="J113" s="27">
        <v>64.260000000000005</v>
      </c>
      <c r="K113" s="27">
        <v>65.463092618523703</v>
      </c>
      <c r="L113" s="27">
        <v>66.730019005701706</v>
      </c>
      <c r="M113" s="27">
        <v>67.656765676567673</v>
      </c>
      <c r="N113" s="27">
        <v>68.323664732946582</v>
      </c>
      <c r="O113" s="27">
        <v>69.386938693869396</v>
      </c>
    </row>
    <row r="114" spans="1:15" x14ac:dyDescent="0.25">
      <c r="A114" s="2">
        <v>110</v>
      </c>
      <c r="B114" s="27">
        <v>54.956486946083821</v>
      </c>
      <c r="C114" s="27">
        <v>56.751350270054012</v>
      </c>
      <c r="D114" s="27">
        <v>57.923169267707088</v>
      </c>
      <c r="E114" s="27">
        <v>59.047714314294282</v>
      </c>
      <c r="F114" s="27">
        <v>60.042008401680334</v>
      </c>
      <c r="G114" s="27">
        <v>60.982196439287854</v>
      </c>
      <c r="H114" s="27">
        <v>61.606160616061615</v>
      </c>
      <c r="I114" s="27">
        <v>62.926292629262939</v>
      </c>
      <c r="J114" s="27">
        <v>63.91</v>
      </c>
      <c r="K114" s="27">
        <v>65.163032606521313</v>
      </c>
      <c r="L114" s="27">
        <v>66.419925977793341</v>
      </c>
      <c r="M114" s="27">
        <v>67.336733673367348</v>
      </c>
      <c r="N114" s="27">
        <v>68.0136027205441</v>
      </c>
      <c r="O114" s="27">
        <v>69.066906690669086</v>
      </c>
    </row>
    <row r="115" spans="1:15" x14ac:dyDescent="0.25">
      <c r="A115" s="2">
        <v>111</v>
      </c>
      <c r="B115" s="27">
        <v>54.586375912773832</v>
      </c>
      <c r="C115" s="27">
        <v>56.43128625725145</v>
      </c>
      <c r="D115" s="27">
        <v>57.573029211684677</v>
      </c>
      <c r="E115" s="27">
        <v>58.707612283685101</v>
      </c>
      <c r="F115" s="27">
        <v>59.721944388877773</v>
      </c>
      <c r="G115" s="27">
        <v>60.632126425285051</v>
      </c>
      <c r="H115" s="27">
        <v>61.256125612561263</v>
      </c>
      <c r="I115" s="27">
        <v>62.586258625862591</v>
      </c>
      <c r="J115" s="27">
        <v>63.59</v>
      </c>
      <c r="K115" s="27">
        <v>64.85297059411883</v>
      </c>
      <c r="L115" s="27">
        <v>66.11983595078523</v>
      </c>
      <c r="M115" s="27">
        <v>67.006700670067019</v>
      </c>
      <c r="N115" s="27">
        <v>67.733546709341866</v>
      </c>
      <c r="O115" s="27">
        <v>68.776877687768788</v>
      </c>
    </row>
    <row r="116" spans="1:15" x14ac:dyDescent="0.25">
      <c r="A116" s="2">
        <v>112</v>
      </c>
      <c r="B116" s="27">
        <v>54.236270881264375</v>
      </c>
      <c r="C116" s="27">
        <v>56.081216243248647</v>
      </c>
      <c r="D116" s="27">
        <v>57.232893157262914</v>
      </c>
      <c r="E116" s="27">
        <v>58.347504251275375</v>
      </c>
      <c r="F116" s="27">
        <v>59.37187437487497</v>
      </c>
      <c r="G116" s="27">
        <v>60.27205441088217</v>
      </c>
      <c r="H116" s="27">
        <v>60.916091609160922</v>
      </c>
      <c r="I116" s="27">
        <v>62.246224622462258</v>
      </c>
      <c r="J116" s="27">
        <v>63.26</v>
      </c>
      <c r="K116" s="27">
        <v>64.52290458091619</v>
      </c>
      <c r="L116" s="27">
        <v>65.81974592377712</v>
      </c>
      <c r="M116" s="27">
        <v>66.696669666966699</v>
      </c>
      <c r="N116" s="27">
        <v>67.443488697739554</v>
      </c>
      <c r="O116" s="27">
        <v>68.496849684968495</v>
      </c>
    </row>
    <row r="117" spans="1:15" x14ac:dyDescent="0.25">
      <c r="A117" s="2">
        <v>113</v>
      </c>
      <c r="B117" s="27">
        <v>53.876162848854655</v>
      </c>
      <c r="C117" s="27">
        <v>55.681136227245446</v>
      </c>
      <c r="D117" s="27">
        <v>56.902761104441787</v>
      </c>
      <c r="E117" s="27">
        <v>57.977393217965385</v>
      </c>
      <c r="F117" s="27">
        <v>58.991798359671925</v>
      </c>
      <c r="G117" s="27">
        <v>59.921984396879367</v>
      </c>
      <c r="H117" s="27">
        <v>60.596059605960605</v>
      </c>
      <c r="I117" s="27">
        <v>61.906190619061917</v>
      </c>
      <c r="J117" s="27">
        <v>62.94</v>
      </c>
      <c r="K117" s="27">
        <v>64.192838567713551</v>
      </c>
      <c r="L117" s="27">
        <v>65.509652895868754</v>
      </c>
      <c r="M117" s="27">
        <v>66.396639663966411</v>
      </c>
      <c r="N117" s="27">
        <v>67.143428685737135</v>
      </c>
      <c r="O117" s="27">
        <v>68.196819681968208</v>
      </c>
    </row>
    <row r="118" spans="1:15" x14ac:dyDescent="0.25">
      <c r="A118" s="2">
        <v>114</v>
      </c>
      <c r="B118" s="27">
        <v>53.526057817345198</v>
      </c>
      <c r="C118" s="27">
        <v>55.331066213242643</v>
      </c>
      <c r="D118" s="27">
        <v>56.562625050020017</v>
      </c>
      <c r="E118" s="27">
        <v>57.607282184655396</v>
      </c>
      <c r="F118" s="27">
        <v>58.601720344068816</v>
      </c>
      <c r="G118" s="27">
        <v>59.571914382876578</v>
      </c>
      <c r="H118" s="27">
        <v>60.266026602660276</v>
      </c>
      <c r="I118" s="27">
        <v>61.566156615661576</v>
      </c>
      <c r="J118" s="27">
        <v>62.62</v>
      </c>
      <c r="K118" s="27">
        <v>63.862772554510897</v>
      </c>
      <c r="L118" s="27">
        <v>65.169550865259581</v>
      </c>
      <c r="M118" s="27">
        <v>66.086608660866091</v>
      </c>
      <c r="N118" s="27">
        <v>66.843368673734744</v>
      </c>
      <c r="O118" s="27">
        <v>67.896789678967906</v>
      </c>
    </row>
    <row r="119" spans="1:15" x14ac:dyDescent="0.25">
      <c r="A119" s="2">
        <v>115</v>
      </c>
      <c r="B119" s="27">
        <v>53.175952785835747</v>
      </c>
      <c r="C119" s="27">
        <v>55.011002200440089</v>
      </c>
      <c r="D119" s="27">
        <v>56.212484993997606</v>
      </c>
      <c r="E119" s="27">
        <v>57.2371711513454</v>
      </c>
      <c r="F119" s="27">
        <v>58.241648329665928</v>
      </c>
      <c r="G119" s="27">
        <v>59.231846369273853</v>
      </c>
      <c r="H119" s="27">
        <v>59.925992599259935</v>
      </c>
      <c r="I119" s="27">
        <v>61.226122612261236</v>
      </c>
      <c r="J119" s="27">
        <v>62.3</v>
      </c>
      <c r="K119" s="27">
        <v>63.542708541708343</v>
      </c>
      <c r="L119" s="27">
        <v>64.839451835550648</v>
      </c>
      <c r="M119" s="27">
        <v>65.776577657765785</v>
      </c>
      <c r="N119" s="27">
        <v>66.533306661332261</v>
      </c>
      <c r="O119" s="27">
        <v>67.616761676167627</v>
      </c>
    </row>
    <row r="120" spans="1:15" x14ac:dyDescent="0.25">
      <c r="A120" s="2">
        <v>116</v>
      </c>
      <c r="B120" s="27">
        <v>52.835850755226566</v>
      </c>
      <c r="C120" s="27">
        <v>54.690938187637528</v>
      </c>
      <c r="D120" s="27">
        <v>55.872348939575843</v>
      </c>
      <c r="E120" s="27">
        <v>56.867060118035411</v>
      </c>
      <c r="F120" s="27">
        <v>57.90158031606321</v>
      </c>
      <c r="G120" s="27">
        <v>58.891778355671136</v>
      </c>
      <c r="H120" s="27">
        <v>59.585958595859594</v>
      </c>
      <c r="I120" s="27">
        <v>60.896089608960907</v>
      </c>
      <c r="J120" s="27">
        <v>61.96</v>
      </c>
      <c r="K120" s="27">
        <v>63.212642528505704</v>
      </c>
      <c r="L120" s="27">
        <v>64.539361808542552</v>
      </c>
      <c r="M120" s="27">
        <v>65.476547654765483</v>
      </c>
      <c r="N120" s="27">
        <v>66.233246649329857</v>
      </c>
      <c r="O120" s="27">
        <v>67.316731673167325</v>
      </c>
    </row>
    <row r="121" spans="1:15" x14ac:dyDescent="0.25">
      <c r="A121" s="2">
        <v>117</v>
      </c>
      <c r="B121" s="27">
        <v>52.495748724617378</v>
      </c>
      <c r="C121" s="27">
        <v>54.35087017403481</v>
      </c>
      <c r="D121" s="27">
        <v>55.502200880352149</v>
      </c>
      <c r="E121" s="27">
        <v>56.5369610883265</v>
      </c>
      <c r="F121" s="27">
        <v>57.561512302460486</v>
      </c>
      <c r="G121" s="27">
        <v>58.531706341268254</v>
      </c>
      <c r="H121" s="27">
        <v>59.255925592559265</v>
      </c>
      <c r="I121" s="27">
        <v>60.556055605560559</v>
      </c>
      <c r="J121" s="27">
        <v>61.62</v>
      </c>
      <c r="K121" s="27">
        <v>62.892578515703143</v>
      </c>
      <c r="L121" s="27">
        <v>64.209262778833647</v>
      </c>
      <c r="M121" s="27">
        <v>65.166516651665177</v>
      </c>
      <c r="N121" s="27">
        <v>65.943188637727545</v>
      </c>
      <c r="O121" s="27">
        <v>67.026702670267028</v>
      </c>
    </row>
    <row r="122" spans="1:15" x14ac:dyDescent="0.25">
      <c r="A122" s="2">
        <v>118</v>
      </c>
      <c r="B122" s="27">
        <v>52.175652695808736</v>
      </c>
      <c r="C122" s="27">
        <v>53.990798159631922</v>
      </c>
      <c r="D122" s="27">
        <v>55.142056822729096</v>
      </c>
      <c r="E122" s="27">
        <v>56.206862058617581</v>
      </c>
      <c r="F122" s="27">
        <v>57.21144228845769</v>
      </c>
      <c r="G122" s="27">
        <v>58.19163832766553</v>
      </c>
      <c r="H122" s="27">
        <v>58.915891589158917</v>
      </c>
      <c r="I122" s="27">
        <v>60.216021602160225</v>
      </c>
      <c r="J122" s="27">
        <v>61.3</v>
      </c>
      <c r="K122" s="27">
        <v>62.572514502900582</v>
      </c>
      <c r="L122" s="27">
        <v>63.889166750024998</v>
      </c>
      <c r="M122" s="27">
        <v>64.856485648564856</v>
      </c>
      <c r="N122" s="27">
        <v>65.64312862572514</v>
      </c>
      <c r="O122" s="27">
        <v>66.72667266726674</v>
      </c>
    </row>
    <row r="123" spans="1:15" x14ac:dyDescent="0.25">
      <c r="A123" s="2">
        <v>119</v>
      </c>
      <c r="B123" s="27">
        <v>51.855556667000101</v>
      </c>
      <c r="C123" s="27">
        <v>53.640728145629126</v>
      </c>
      <c r="D123" s="27">
        <v>54.791916766706692</v>
      </c>
      <c r="E123" s="27">
        <v>55.886766029808939</v>
      </c>
      <c r="F123" s="27">
        <v>56.861372274454887</v>
      </c>
      <c r="G123" s="27">
        <v>57.86157231446289</v>
      </c>
      <c r="H123" s="27">
        <v>58.535853585358545</v>
      </c>
      <c r="I123" s="27">
        <v>59.905990599059912</v>
      </c>
      <c r="J123" s="27">
        <v>60.97</v>
      </c>
      <c r="K123" s="27">
        <v>62.25245049009802</v>
      </c>
      <c r="L123" s="27">
        <v>63.599079723917171</v>
      </c>
      <c r="M123" s="27">
        <v>64.576457645764577</v>
      </c>
      <c r="N123" s="27">
        <v>65.343068613722735</v>
      </c>
      <c r="O123" s="27">
        <v>66.446644664466447</v>
      </c>
    </row>
    <row r="124" spans="1:15" x14ac:dyDescent="0.25">
      <c r="A124" s="2">
        <v>120</v>
      </c>
      <c r="B124" s="27">
        <v>51.535460638191459</v>
      </c>
      <c r="C124" s="27">
        <v>53.280656131226245</v>
      </c>
      <c r="D124" s="27">
        <v>54.471788715486205</v>
      </c>
      <c r="E124" s="27">
        <v>55.536660998299489</v>
      </c>
      <c r="F124" s="27">
        <v>56.541308261652333</v>
      </c>
      <c r="G124" s="27">
        <v>57.531506301260251</v>
      </c>
      <c r="H124" s="27">
        <v>58.175817581758189</v>
      </c>
      <c r="I124" s="27">
        <v>59.585958595859594</v>
      </c>
      <c r="J124" s="27">
        <v>60.63</v>
      </c>
      <c r="K124" s="27">
        <v>61.922384476895374</v>
      </c>
      <c r="L124" s="27">
        <v>63.318995698709607</v>
      </c>
      <c r="M124" s="27">
        <v>64.286428642864294</v>
      </c>
      <c r="N124" s="27">
        <v>65.053010602120423</v>
      </c>
      <c r="O124" s="27">
        <v>66.176617661766187</v>
      </c>
    </row>
    <row r="125" spans="1:15" x14ac:dyDescent="0.25">
      <c r="A125" s="2">
        <v>121</v>
      </c>
      <c r="B125" s="27">
        <v>51.205361608482541</v>
      </c>
      <c r="C125" s="27">
        <v>52.950590118023598</v>
      </c>
      <c r="D125" s="27">
        <v>54.131652661064436</v>
      </c>
      <c r="E125" s="27">
        <v>55.196558967690301</v>
      </c>
      <c r="F125" s="27">
        <v>56.23124624924985</v>
      </c>
      <c r="G125" s="27">
        <v>57.21144228845769</v>
      </c>
      <c r="H125" s="27">
        <v>57.855785578557864</v>
      </c>
      <c r="I125" s="27">
        <v>59.255925592559265</v>
      </c>
      <c r="J125" s="27">
        <v>60.3</v>
      </c>
      <c r="K125" s="27">
        <v>61.582316463292656</v>
      </c>
      <c r="L125" s="27">
        <v>63.008902670801241</v>
      </c>
      <c r="M125" s="27">
        <v>63.996399639964004</v>
      </c>
      <c r="N125" s="27">
        <v>64.772954590918189</v>
      </c>
      <c r="O125" s="27">
        <v>65.876587658765885</v>
      </c>
    </row>
    <row r="126" spans="1:15" x14ac:dyDescent="0.25">
      <c r="A126" s="2">
        <v>122</v>
      </c>
      <c r="B126" s="27">
        <v>50.845253576072814</v>
      </c>
      <c r="C126" s="27">
        <v>52.620524104820959</v>
      </c>
      <c r="D126" s="27">
        <v>53.791516606642666</v>
      </c>
      <c r="E126" s="27">
        <v>54.856456937081127</v>
      </c>
      <c r="F126" s="27">
        <v>55.891178235647132</v>
      </c>
      <c r="G126" s="27">
        <v>56.891378275655129</v>
      </c>
      <c r="H126" s="27">
        <v>57.565756575657574</v>
      </c>
      <c r="I126" s="27">
        <v>58.925892589258936</v>
      </c>
      <c r="J126" s="27">
        <v>59.99</v>
      </c>
      <c r="K126" s="27">
        <v>61.262252450490095</v>
      </c>
      <c r="L126" s="27">
        <v>62.698809642892861</v>
      </c>
      <c r="M126" s="27">
        <v>63.696369636963702</v>
      </c>
      <c r="N126" s="27">
        <v>64.472894578915771</v>
      </c>
      <c r="O126" s="27">
        <v>65.55655565556556</v>
      </c>
    </row>
    <row r="127" spans="1:15" x14ac:dyDescent="0.25">
      <c r="A127" s="2">
        <v>123</v>
      </c>
      <c r="B127" s="27">
        <v>50.495148544563364</v>
      </c>
      <c r="C127" s="27">
        <v>52.310462092418476</v>
      </c>
      <c r="D127" s="27">
        <v>53.451380552220897</v>
      </c>
      <c r="E127" s="27">
        <v>54.50635190557167</v>
      </c>
      <c r="F127" s="27">
        <v>55.541108221644329</v>
      </c>
      <c r="G127" s="27">
        <v>56.561312262452482</v>
      </c>
      <c r="H127" s="27">
        <v>57.25572557255726</v>
      </c>
      <c r="I127" s="27">
        <v>58.615861586158623</v>
      </c>
      <c r="J127" s="27">
        <v>59.68</v>
      </c>
      <c r="K127" s="27">
        <v>60.952190438087612</v>
      </c>
      <c r="L127" s="27">
        <v>62.398719615884765</v>
      </c>
      <c r="M127" s="27">
        <v>63.396339633963407</v>
      </c>
      <c r="N127" s="27">
        <v>64.17283456691338</v>
      </c>
      <c r="O127" s="27">
        <v>65.276527652765282</v>
      </c>
    </row>
    <row r="128" spans="1:15" x14ac:dyDescent="0.25">
      <c r="A128" s="2">
        <v>124</v>
      </c>
      <c r="B128" s="27">
        <v>50.145043513053913</v>
      </c>
      <c r="C128" s="27">
        <v>51.990398079615915</v>
      </c>
      <c r="D128" s="27">
        <v>53.121248499399769</v>
      </c>
      <c r="E128" s="27">
        <v>54.176252875862751</v>
      </c>
      <c r="F128" s="27">
        <v>55.201040208041604</v>
      </c>
      <c r="G128" s="27">
        <v>56.211242248449693</v>
      </c>
      <c r="H128" s="27">
        <v>56.945694569456954</v>
      </c>
      <c r="I128" s="27">
        <v>58.295829582958305</v>
      </c>
      <c r="J128" s="27">
        <v>59.38</v>
      </c>
      <c r="K128" s="27">
        <v>60.642128425685137</v>
      </c>
      <c r="L128" s="27">
        <v>62.108632589776931</v>
      </c>
      <c r="M128" s="27">
        <v>63.086308630863094</v>
      </c>
      <c r="N128" s="27">
        <v>63.882776555311054</v>
      </c>
      <c r="O128" s="27">
        <v>64.996499649965003</v>
      </c>
    </row>
    <row r="129" spans="1:15" x14ac:dyDescent="0.25">
      <c r="A129" s="2">
        <v>125</v>
      </c>
      <c r="B129" s="27">
        <v>49.814944483344995</v>
      </c>
      <c r="C129" s="27">
        <v>51.660332066413282</v>
      </c>
      <c r="D129" s="27">
        <v>52.781112444978</v>
      </c>
      <c r="E129" s="27">
        <v>53.856156847054116</v>
      </c>
      <c r="F129" s="27">
        <v>54.890978195639129</v>
      </c>
      <c r="G129" s="27">
        <v>55.871174234846968</v>
      </c>
      <c r="H129" s="27">
        <v>56.615661566156625</v>
      </c>
      <c r="I129" s="27">
        <v>57.97579757975798</v>
      </c>
      <c r="J129" s="27">
        <v>59.07</v>
      </c>
      <c r="K129" s="27">
        <v>60.332066413282654</v>
      </c>
      <c r="L129" s="27">
        <v>61.788536560968289</v>
      </c>
      <c r="M129" s="27">
        <v>62.786278627862799</v>
      </c>
      <c r="N129" s="27">
        <v>63.592718543708735</v>
      </c>
      <c r="O129" s="27">
        <v>64.70647064706472</v>
      </c>
    </row>
    <row r="130" spans="1:15" x14ac:dyDescent="0.25">
      <c r="A130" s="2">
        <v>126</v>
      </c>
      <c r="B130" s="27">
        <v>49.514854456336899</v>
      </c>
      <c r="C130" s="27">
        <v>51.320264052810565</v>
      </c>
      <c r="D130" s="27">
        <v>52.470988395358155</v>
      </c>
      <c r="E130" s="27">
        <v>53.556066820046013</v>
      </c>
      <c r="F130" s="27">
        <v>54.580916183236646</v>
      </c>
      <c r="G130" s="27">
        <v>55.551110222044407</v>
      </c>
      <c r="H130" s="27">
        <v>56.245624562456257</v>
      </c>
      <c r="I130" s="27">
        <v>57.645764576457651</v>
      </c>
      <c r="J130" s="27">
        <v>58.74</v>
      </c>
      <c r="K130" s="27">
        <v>60.022004400880171</v>
      </c>
      <c r="L130" s="27">
        <v>61.468440532159647</v>
      </c>
      <c r="M130" s="27">
        <v>62.496249624962509</v>
      </c>
      <c r="N130" s="27">
        <v>63.312662532506494</v>
      </c>
      <c r="O130" s="27">
        <v>64.416441644164422</v>
      </c>
    </row>
    <row r="131" spans="1:15" x14ac:dyDescent="0.25">
      <c r="A131" s="2">
        <v>127</v>
      </c>
      <c r="B131" s="27">
        <v>49.214764429328795</v>
      </c>
      <c r="C131" s="27">
        <v>51.000200040008004</v>
      </c>
      <c r="D131" s="27">
        <v>52.160864345738304</v>
      </c>
      <c r="E131" s="27">
        <v>53.235970791237364</v>
      </c>
      <c r="F131" s="27">
        <v>54.270854170834163</v>
      </c>
      <c r="G131" s="27">
        <v>55.231046209241846</v>
      </c>
      <c r="H131" s="27">
        <v>55.915591559155921</v>
      </c>
      <c r="I131" s="27">
        <v>57.325732573257334</v>
      </c>
      <c r="J131" s="27">
        <v>58.41</v>
      </c>
      <c r="K131" s="27">
        <v>59.711942388477695</v>
      </c>
      <c r="L131" s="27">
        <v>61.168350505151537</v>
      </c>
      <c r="M131" s="27">
        <v>62.216221622162223</v>
      </c>
      <c r="N131" s="27">
        <v>63.042608521704338</v>
      </c>
      <c r="O131" s="27">
        <v>64.126412641264139</v>
      </c>
    </row>
    <row r="132" spans="1:15" x14ac:dyDescent="0.25">
      <c r="A132" s="2">
        <v>128</v>
      </c>
      <c r="B132" s="27">
        <v>48.904671401420423</v>
      </c>
      <c r="C132" s="27">
        <v>50.680136027205442</v>
      </c>
      <c r="D132" s="27">
        <v>51.840736294517818</v>
      </c>
      <c r="E132" s="27">
        <v>52.905871761528452</v>
      </c>
      <c r="F132" s="27">
        <v>53.970794158831765</v>
      </c>
      <c r="G132" s="27">
        <v>54.910982196439285</v>
      </c>
      <c r="H132" s="27">
        <v>55.62556255625563</v>
      </c>
      <c r="I132" s="27">
        <v>56.995699569957004</v>
      </c>
      <c r="J132" s="27">
        <v>58.08</v>
      </c>
      <c r="K132" s="27">
        <v>59.401880376075212</v>
      </c>
      <c r="L132" s="27">
        <v>60.858257477243171</v>
      </c>
      <c r="M132" s="27">
        <v>61.92619261926194</v>
      </c>
      <c r="N132" s="27">
        <v>62.762552510502097</v>
      </c>
      <c r="O132" s="27">
        <v>63.84638463846386</v>
      </c>
    </row>
    <row r="133" spans="1:15" x14ac:dyDescent="0.25">
      <c r="A133" s="2">
        <v>129</v>
      </c>
      <c r="B133" s="27">
        <v>48.604581374412327</v>
      </c>
      <c r="C133" s="27">
        <v>50.350070014002803</v>
      </c>
      <c r="D133" s="27">
        <v>51.51060424169669</v>
      </c>
      <c r="E133" s="27">
        <v>52.565769730919271</v>
      </c>
      <c r="F133" s="27">
        <v>53.660732146429282</v>
      </c>
      <c r="G133" s="27">
        <v>54.590918183636724</v>
      </c>
      <c r="H133" s="27">
        <v>55.33553355335534</v>
      </c>
      <c r="I133" s="27">
        <v>56.695669566956703</v>
      </c>
      <c r="J133" s="27">
        <v>57.77</v>
      </c>
      <c r="K133" s="27">
        <v>59.101820364072815</v>
      </c>
      <c r="L133" s="27">
        <v>60.558167450235068</v>
      </c>
      <c r="M133" s="27">
        <v>61.626162616261631</v>
      </c>
      <c r="N133" s="27">
        <v>62.462492498499699</v>
      </c>
      <c r="O133" s="27">
        <v>63.576357635763586</v>
      </c>
    </row>
    <row r="134" spans="1:15" x14ac:dyDescent="0.25">
      <c r="A134" s="2">
        <v>130</v>
      </c>
      <c r="B134" s="27">
        <v>48.294488346503947</v>
      </c>
      <c r="C134" s="27">
        <v>50.010002000400078</v>
      </c>
      <c r="D134" s="27">
        <v>51.180472188875555</v>
      </c>
      <c r="E134" s="27">
        <v>52.245673702110629</v>
      </c>
      <c r="F134" s="27">
        <v>53.350670134026807</v>
      </c>
      <c r="G134" s="27">
        <v>54.260852170434084</v>
      </c>
      <c r="H134" s="27">
        <v>54.995499549955007</v>
      </c>
      <c r="I134" s="27">
        <v>56.385638563856396</v>
      </c>
      <c r="J134" s="27">
        <v>57.46</v>
      </c>
      <c r="K134" s="27">
        <v>58.781756351270253</v>
      </c>
      <c r="L134" s="27">
        <v>60.268080424127234</v>
      </c>
      <c r="M134" s="27">
        <v>61.326132613261336</v>
      </c>
      <c r="N134" s="27">
        <v>62.182436487297458</v>
      </c>
      <c r="O134" s="27">
        <v>63.306330633063311</v>
      </c>
    </row>
    <row r="135" spans="1:15" x14ac:dyDescent="0.25">
      <c r="A135" s="2">
        <v>131</v>
      </c>
      <c r="B135" s="27">
        <v>47.994398319495843</v>
      </c>
      <c r="C135" s="27">
        <v>49.699939987997595</v>
      </c>
      <c r="D135" s="27">
        <v>50.860344137655076</v>
      </c>
      <c r="E135" s="27">
        <v>51.935580674202257</v>
      </c>
      <c r="F135" s="27">
        <v>53.02060412082416</v>
      </c>
      <c r="G135" s="27">
        <v>53.950790158031602</v>
      </c>
      <c r="H135" s="27">
        <v>54.655465546554659</v>
      </c>
      <c r="I135" s="27">
        <v>56.065606560656079</v>
      </c>
      <c r="J135" s="27">
        <v>57.15</v>
      </c>
      <c r="K135" s="27">
        <v>58.471694338867771</v>
      </c>
      <c r="L135" s="27">
        <v>59.9779933980194</v>
      </c>
      <c r="M135" s="27">
        <v>61.016101610161023</v>
      </c>
      <c r="N135" s="27">
        <v>61.922384476895374</v>
      </c>
      <c r="O135" s="27">
        <v>63.036303630363044</v>
      </c>
    </row>
    <row r="136" spans="1:15" x14ac:dyDescent="0.25">
      <c r="A136" s="2">
        <v>132</v>
      </c>
      <c r="B136" s="27">
        <v>47.70431129338801</v>
      </c>
      <c r="C136" s="27">
        <v>49.409881976395276</v>
      </c>
      <c r="D136" s="27">
        <v>50.540216086434583</v>
      </c>
      <c r="E136" s="27">
        <v>51.64549364809443</v>
      </c>
      <c r="F136" s="27">
        <v>52.690538107621521</v>
      </c>
      <c r="G136" s="27">
        <v>53.650730146029204</v>
      </c>
      <c r="H136" s="27">
        <v>54.335433543354341</v>
      </c>
      <c r="I136" s="27">
        <v>55.735573557355742</v>
      </c>
      <c r="J136" s="27">
        <v>56.85</v>
      </c>
      <c r="K136" s="27">
        <v>58.171634326865366</v>
      </c>
      <c r="L136" s="27">
        <v>59.687906371911573</v>
      </c>
      <c r="M136" s="27">
        <v>60.706070607060717</v>
      </c>
      <c r="N136" s="27">
        <v>61.632326465293055</v>
      </c>
      <c r="O136" s="27">
        <v>62.756275627562765</v>
      </c>
    </row>
    <row r="137" spans="1:15" x14ac:dyDescent="0.25">
      <c r="A137" s="2">
        <v>133</v>
      </c>
      <c r="B137" s="27">
        <v>47.404221266379913</v>
      </c>
      <c r="C137" s="27">
        <v>49.119823964792957</v>
      </c>
      <c r="D137" s="27">
        <v>50.220088035214097</v>
      </c>
      <c r="E137" s="27">
        <v>51.345403621086319</v>
      </c>
      <c r="F137" s="27">
        <v>52.37047409481896</v>
      </c>
      <c r="G137" s="27">
        <v>53.350670134026807</v>
      </c>
      <c r="H137" s="27">
        <v>54.035403540354046</v>
      </c>
      <c r="I137" s="27">
        <v>55.445544554455452</v>
      </c>
      <c r="J137" s="27">
        <v>56.57</v>
      </c>
      <c r="K137" s="27">
        <v>57.86157231446289</v>
      </c>
      <c r="L137" s="27">
        <v>59.39781934580374</v>
      </c>
      <c r="M137" s="27">
        <v>60.426042604260438</v>
      </c>
      <c r="N137" s="27">
        <v>61.322264452890579</v>
      </c>
      <c r="O137" s="27">
        <v>62.476247624762486</v>
      </c>
    </row>
    <row r="138" spans="1:15" x14ac:dyDescent="0.25">
      <c r="A138" s="2">
        <v>134</v>
      </c>
      <c r="B138" s="27">
        <v>47.10413123937181</v>
      </c>
      <c r="C138" s="27">
        <v>48.789757951590317</v>
      </c>
      <c r="D138" s="27">
        <v>49.919967987194887</v>
      </c>
      <c r="E138" s="27">
        <v>51.015304591377408</v>
      </c>
      <c r="F138" s="27">
        <v>52.060412082416477</v>
      </c>
      <c r="G138" s="27">
        <v>53.040608121624324</v>
      </c>
      <c r="H138" s="27">
        <v>53.745374537453756</v>
      </c>
      <c r="I138" s="27">
        <v>55.155515551555162</v>
      </c>
      <c r="J138" s="27">
        <v>56.28</v>
      </c>
      <c r="K138" s="27">
        <v>57.561512302460486</v>
      </c>
      <c r="L138" s="27">
        <v>59.097729318795636</v>
      </c>
      <c r="M138" s="27">
        <v>60.156015601560163</v>
      </c>
      <c r="N138" s="27">
        <v>61.022204440888174</v>
      </c>
      <c r="O138" s="27">
        <v>62.206220622062219</v>
      </c>
    </row>
    <row r="139" spans="1:15" x14ac:dyDescent="0.25">
      <c r="A139" s="2">
        <v>135</v>
      </c>
      <c r="B139" s="27">
        <v>46.804041212363707</v>
      </c>
      <c r="C139" s="27">
        <v>48.469693938787756</v>
      </c>
      <c r="D139" s="27">
        <v>49.629851940776319</v>
      </c>
      <c r="E139" s="27">
        <v>50.705211563469035</v>
      </c>
      <c r="F139" s="27">
        <v>51.750350070014001</v>
      </c>
      <c r="G139" s="27">
        <v>52.710542108421684</v>
      </c>
      <c r="H139" s="27">
        <v>53.455345534553466</v>
      </c>
      <c r="I139" s="27">
        <v>54.835483548354844</v>
      </c>
      <c r="J139" s="27">
        <v>55.97</v>
      </c>
      <c r="K139" s="27">
        <v>57.261452290458088</v>
      </c>
      <c r="L139" s="27">
        <v>58.797639291787533</v>
      </c>
      <c r="M139" s="27">
        <v>59.875987598759885</v>
      </c>
      <c r="N139" s="27">
        <v>60.752150430086019</v>
      </c>
      <c r="O139" s="27">
        <v>61.946194619461956</v>
      </c>
    </row>
    <row r="140" spans="1:15" x14ac:dyDescent="0.25">
      <c r="A140" s="2">
        <v>136</v>
      </c>
      <c r="B140" s="27">
        <v>46.503951185355604</v>
      </c>
      <c r="C140" s="27">
        <v>48.159631926385273</v>
      </c>
      <c r="D140" s="27">
        <v>49.339735894357752</v>
      </c>
      <c r="E140" s="27">
        <v>50.405121536460939</v>
      </c>
      <c r="F140" s="27">
        <v>51.460292058411682</v>
      </c>
      <c r="G140" s="27">
        <v>52.400480096019201</v>
      </c>
      <c r="H140" s="27">
        <v>53.145314531453153</v>
      </c>
      <c r="I140" s="27">
        <v>54.505450545054515</v>
      </c>
      <c r="J140" s="27">
        <v>55.66</v>
      </c>
      <c r="K140" s="27">
        <v>56.961392278455691</v>
      </c>
      <c r="L140" s="27">
        <v>58.507552265679699</v>
      </c>
      <c r="M140" s="27">
        <v>59.595959595959606</v>
      </c>
      <c r="N140" s="27">
        <v>60.472094418883778</v>
      </c>
      <c r="O140" s="27">
        <v>61.656165616561665</v>
      </c>
    </row>
    <row r="141" spans="1:15" x14ac:dyDescent="0.25">
      <c r="A141" s="2">
        <v>137</v>
      </c>
      <c r="B141" s="27">
        <v>46.213864159247777</v>
      </c>
      <c r="C141" s="27">
        <v>47.859571914382876</v>
      </c>
      <c r="D141" s="27">
        <v>49.049619847939184</v>
      </c>
      <c r="E141" s="27">
        <v>50.105031509452836</v>
      </c>
      <c r="F141" s="27">
        <v>51.180236047209441</v>
      </c>
      <c r="G141" s="27">
        <v>52.090418083616719</v>
      </c>
      <c r="H141" s="27">
        <v>52.825282528252835</v>
      </c>
      <c r="I141" s="27">
        <v>54.195419541954202</v>
      </c>
      <c r="J141" s="27">
        <v>55.37</v>
      </c>
      <c r="K141" s="27">
        <v>56.661332266453286</v>
      </c>
      <c r="L141" s="27">
        <v>58.237471241372404</v>
      </c>
      <c r="M141" s="27">
        <v>59.315931593159327</v>
      </c>
      <c r="N141" s="27">
        <v>60.212042408481693</v>
      </c>
      <c r="O141" s="27">
        <v>61.386138613861398</v>
      </c>
    </row>
    <row r="142" spans="1:15" x14ac:dyDescent="0.25">
      <c r="A142" s="2">
        <v>138</v>
      </c>
      <c r="B142" s="27">
        <v>45.933780134040212</v>
      </c>
      <c r="C142" s="27">
        <v>47.569513902780557</v>
      </c>
      <c r="D142" s="27">
        <v>48.749499799919974</v>
      </c>
      <c r="E142" s="27">
        <v>49.804941482444733</v>
      </c>
      <c r="F142" s="27">
        <v>50.890178035607121</v>
      </c>
      <c r="G142" s="27">
        <v>51.800360072014399</v>
      </c>
      <c r="H142" s="27">
        <v>52.515251525152522</v>
      </c>
      <c r="I142" s="27">
        <v>53.8953895389539</v>
      </c>
      <c r="J142" s="27">
        <v>55.08</v>
      </c>
      <c r="K142" s="27">
        <v>56.39127825565113</v>
      </c>
      <c r="L142" s="27">
        <v>57.967390217065116</v>
      </c>
      <c r="M142" s="27">
        <v>59.045904590459052</v>
      </c>
      <c r="N142" s="27">
        <v>59.951990398079609</v>
      </c>
      <c r="O142" s="27">
        <v>61.116111611161124</v>
      </c>
    </row>
    <row r="143" spans="1:15" x14ac:dyDescent="0.25">
      <c r="A143" s="2">
        <v>139</v>
      </c>
      <c r="B143" s="27">
        <v>45.643693107932378</v>
      </c>
      <c r="C143" s="27">
        <v>47.279455891178237</v>
      </c>
      <c r="D143" s="27">
        <v>48.429371748699481</v>
      </c>
      <c r="E143" s="27">
        <v>49.514854456336899</v>
      </c>
      <c r="F143" s="27">
        <v>50.57011402280456</v>
      </c>
      <c r="G143" s="27">
        <v>51.500300060012002</v>
      </c>
      <c r="H143" s="27">
        <v>52.225222522252231</v>
      </c>
      <c r="I143" s="27">
        <v>53.605360536053617</v>
      </c>
      <c r="J143" s="27">
        <v>54.79</v>
      </c>
      <c r="K143" s="27">
        <v>56.111222244448889</v>
      </c>
      <c r="L143" s="27">
        <v>57.677303190957282</v>
      </c>
      <c r="M143" s="27">
        <v>58.775877587758785</v>
      </c>
      <c r="N143" s="27">
        <v>59.661932386477289</v>
      </c>
      <c r="O143" s="27">
        <v>60.856085608560868</v>
      </c>
    </row>
    <row r="144" spans="1:15" x14ac:dyDescent="0.25">
      <c r="A144" s="2">
        <v>140</v>
      </c>
      <c r="B144" s="27">
        <v>45.333600080024006</v>
      </c>
      <c r="C144" s="27">
        <v>46.989397879575911</v>
      </c>
      <c r="D144" s="27">
        <v>48.129251700680278</v>
      </c>
      <c r="E144" s="27">
        <v>49.234770431129334</v>
      </c>
      <c r="F144" s="27">
        <v>50.250050010001999</v>
      </c>
      <c r="G144" s="27">
        <v>51.210242048409683</v>
      </c>
      <c r="H144" s="27">
        <v>51.925192519251937</v>
      </c>
      <c r="I144" s="27">
        <v>53.325332533253331</v>
      </c>
      <c r="J144" s="27">
        <v>54.49</v>
      </c>
      <c r="K144" s="27">
        <v>55.811162232446485</v>
      </c>
      <c r="L144" s="27">
        <v>57.397219165749725</v>
      </c>
      <c r="M144" s="27">
        <v>58.505850585058511</v>
      </c>
      <c r="N144" s="27">
        <v>59.381876375275048</v>
      </c>
      <c r="O144" s="27">
        <v>60.586058605860593</v>
      </c>
    </row>
    <row r="145" spans="1:15" x14ac:dyDescent="0.25">
      <c r="A145" s="2">
        <v>141</v>
      </c>
      <c r="B145" s="27">
        <v>45.013504051215364</v>
      </c>
      <c r="C145" s="27">
        <v>46.659331866373272</v>
      </c>
      <c r="D145" s="27">
        <v>47.83913565426171</v>
      </c>
      <c r="E145" s="27">
        <v>48.9446834050215</v>
      </c>
      <c r="F145" s="27">
        <v>49.949989997999594</v>
      </c>
      <c r="G145" s="27">
        <v>50.910182036407278</v>
      </c>
      <c r="H145" s="27">
        <v>51.635163516351646</v>
      </c>
      <c r="I145" s="27">
        <v>53.025302530253036</v>
      </c>
      <c r="J145" s="27">
        <v>54.18</v>
      </c>
      <c r="K145" s="27">
        <v>55.511102220444087</v>
      </c>
      <c r="L145" s="27">
        <v>57.11713514054216</v>
      </c>
      <c r="M145" s="27">
        <v>58.225822582258232</v>
      </c>
      <c r="N145" s="27">
        <v>59.121824364872971</v>
      </c>
      <c r="O145" s="27">
        <v>60.316031603160326</v>
      </c>
    </row>
    <row r="146" spans="1:15" x14ac:dyDescent="0.25">
      <c r="A146" s="2">
        <v>142</v>
      </c>
      <c r="B146" s="27">
        <v>44.703411023306984</v>
      </c>
      <c r="C146" s="27">
        <v>46.369273854770952</v>
      </c>
      <c r="D146" s="27">
        <v>47.569027611044426</v>
      </c>
      <c r="E146" s="27">
        <v>48.634590377113128</v>
      </c>
      <c r="F146" s="27">
        <v>49.639927985597119</v>
      </c>
      <c r="G146" s="27">
        <v>50.61012202440488</v>
      </c>
      <c r="H146" s="27">
        <v>51.345134513451356</v>
      </c>
      <c r="I146" s="27">
        <v>52.725272527252734</v>
      </c>
      <c r="J146" s="27">
        <v>53.89</v>
      </c>
      <c r="K146" s="27">
        <v>55.241048209641924</v>
      </c>
      <c r="L146" s="27">
        <v>56.837051115334596</v>
      </c>
      <c r="M146" s="27">
        <v>57.955795579557964</v>
      </c>
      <c r="N146" s="27">
        <v>58.851770354070815</v>
      </c>
      <c r="O146" s="27">
        <v>60.046004600460051</v>
      </c>
    </row>
    <row r="147" spans="1:15" x14ac:dyDescent="0.25">
      <c r="A147" s="2">
        <v>143</v>
      </c>
      <c r="B147" s="27">
        <v>44.403320996298888</v>
      </c>
      <c r="C147" s="27">
        <v>46.119223844768953</v>
      </c>
      <c r="D147" s="27">
        <v>47.268907563025216</v>
      </c>
      <c r="E147" s="27">
        <v>48.314494348304486</v>
      </c>
      <c r="F147" s="27">
        <v>49.339867973594714</v>
      </c>
      <c r="G147" s="27">
        <v>50.300060012002398</v>
      </c>
      <c r="H147" s="27">
        <v>51.065106510651077</v>
      </c>
      <c r="I147" s="27">
        <v>52.435243524352444</v>
      </c>
      <c r="J147" s="27">
        <v>53.6</v>
      </c>
      <c r="K147" s="27">
        <v>54.950990198039605</v>
      </c>
      <c r="L147" s="27">
        <v>56.556967090127031</v>
      </c>
      <c r="M147" s="27">
        <v>57.665766576657667</v>
      </c>
      <c r="N147" s="27">
        <v>58.561712342468489</v>
      </c>
      <c r="O147" s="27">
        <v>59.775977597759784</v>
      </c>
    </row>
    <row r="148" spans="1:15" x14ac:dyDescent="0.25">
      <c r="A148" s="2">
        <v>144</v>
      </c>
      <c r="B148" s="27">
        <v>44.123236971091323</v>
      </c>
      <c r="C148" s="27">
        <v>45.859171834366876</v>
      </c>
      <c r="D148" s="27">
        <v>46.978791516606648</v>
      </c>
      <c r="E148" s="27">
        <v>48.014404321296382</v>
      </c>
      <c r="F148" s="27">
        <v>49.049809961992395</v>
      </c>
      <c r="G148" s="27">
        <v>50</v>
      </c>
      <c r="H148" s="27">
        <v>50.755075507550764</v>
      </c>
      <c r="I148" s="27">
        <v>52.145214521452154</v>
      </c>
      <c r="J148" s="27">
        <v>53.31</v>
      </c>
      <c r="K148" s="27">
        <v>54.650930186037208</v>
      </c>
      <c r="L148" s="27">
        <v>56.276883064919467</v>
      </c>
      <c r="M148" s="27">
        <v>57.405740574057411</v>
      </c>
      <c r="N148" s="27">
        <v>58.281656331266255</v>
      </c>
      <c r="O148" s="27">
        <v>59.52595259525954</v>
      </c>
    </row>
    <row r="149" spans="1:15" x14ac:dyDescent="0.25">
      <c r="A149" s="2">
        <v>145</v>
      </c>
      <c r="B149" s="27">
        <v>43.853155946784035</v>
      </c>
      <c r="C149" s="27">
        <v>45.559111822364471</v>
      </c>
      <c r="D149" s="27">
        <v>46.678671468587439</v>
      </c>
      <c r="E149" s="27">
        <v>47.734320296088825</v>
      </c>
      <c r="F149" s="27">
        <v>48.769753950790154</v>
      </c>
      <c r="G149" s="27">
        <v>49.699939987997595</v>
      </c>
      <c r="H149" s="27">
        <v>50.455045504550462</v>
      </c>
      <c r="I149" s="27">
        <v>51.855185518551863</v>
      </c>
      <c r="J149" s="27">
        <v>53.03</v>
      </c>
      <c r="K149" s="27">
        <v>54.360872174434888</v>
      </c>
      <c r="L149" s="27">
        <v>55.976793037911371</v>
      </c>
      <c r="M149" s="27">
        <v>57.135713571357144</v>
      </c>
      <c r="N149" s="27">
        <v>58.021604320864171</v>
      </c>
      <c r="O149" s="27">
        <v>59.26592659265927</v>
      </c>
    </row>
    <row r="150" spans="1:15" x14ac:dyDescent="0.25">
      <c r="A150" s="2">
        <v>146</v>
      </c>
      <c r="B150" s="27">
        <v>43.59307792337701</v>
      </c>
      <c r="C150" s="27">
        <v>45.259051810362074</v>
      </c>
      <c r="D150" s="27">
        <v>46.39855942376952</v>
      </c>
      <c r="E150" s="27">
        <v>47.444233269980991</v>
      </c>
      <c r="F150" s="27">
        <v>48.479695939187835</v>
      </c>
      <c r="G150" s="27">
        <v>49.409881976395276</v>
      </c>
      <c r="H150" s="27">
        <v>50.175017501750183</v>
      </c>
      <c r="I150" s="27">
        <v>51.565156515651573</v>
      </c>
      <c r="J150" s="27">
        <v>52.75</v>
      </c>
      <c r="K150" s="27">
        <v>54.080816163232647</v>
      </c>
      <c r="L150" s="27">
        <v>55.676703010903267</v>
      </c>
      <c r="M150" s="27">
        <v>56.855685568556865</v>
      </c>
      <c r="N150" s="27">
        <v>57.771554310862165</v>
      </c>
      <c r="O150" s="27">
        <v>59.005900590059014</v>
      </c>
    </row>
    <row r="151" spans="1:15" x14ac:dyDescent="0.25">
      <c r="A151" s="2">
        <v>147</v>
      </c>
      <c r="B151" s="27">
        <v>43.322996899069722</v>
      </c>
      <c r="C151" s="27">
        <v>44.948989797959591</v>
      </c>
      <c r="D151" s="27">
        <v>46.138455382152863</v>
      </c>
      <c r="E151" s="27">
        <v>47.144143242972895</v>
      </c>
      <c r="F151" s="27">
        <v>48.189637927585515</v>
      </c>
      <c r="G151" s="27">
        <v>49.129825965193035</v>
      </c>
      <c r="H151" s="27">
        <v>49.884988498849893</v>
      </c>
      <c r="I151" s="27">
        <v>51.285128512851294</v>
      </c>
      <c r="J151" s="27">
        <v>52.46</v>
      </c>
      <c r="K151" s="27">
        <v>53.790758151630328</v>
      </c>
      <c r="L151" s="27">
        <v>55.406621986595972</v>
      </c>
      <c r="M151" s="27">
        <v>56.555655565556563</v>
      </c>
      <c r="N151" s="27">
        <v>57.501500300060009</v>
      </c>
      <c r="O151" s="27">
        <v>58.755875587558762</v>
      </c>
    </row>
    <row r="152" spans="1:15" x14ac:dyDescent="0.25">
      <c r="A152" s="2">
        <v>148</v>
      </c>
      <c r="B152" s="27">
        <v>43.042912873862157</v>
      </c>
      <c r="C152" s="27">
        <v>44.658931786357265</v>
      </c>
      <c r="D152" s="27">
        <v>45.868347338935585</v>
      </c>
      <c r="E152" s="27">
        <v>46.86405921776533</v>
      </c>
      <c r="F152" s="27">
        <v>47.899579915983196</v>
      </c>
      <c r="G152" s="27">
        <v>48.839767953590716</v>
      </c>
      <c r="H152" s="27">
        <v>49.594959495949603</v>
      </c>
      <c r="I152" s="27">
        <v>51.005100510051015</v>
      </c>
      <c r="J152" s="27">
        <v>52.17</v>
      </c>
      <c r="K152" s="27">
        <v>53.500700140028002</v>
      </c>
      <c r="L152" s="27">
        <v>55.116534960488146</v>
      </c>
      <c r="M152" s="27">
        <v>56.2956295629563</v>
      </c>
      <c r="N152" s="27">
        <v>57.241448289657924</v>
      </c>
      <c r="O152" s="27">
        <v>58.505850585058511</v>
      </c>
    </row>
    <row r="153" spans="1:15" x14ac:dyDescent="0.25">
      <c r="A153" s="2">
        <v>149</v>
      </c>
      <c r="B153" s="27">
        <v>42.752825847754323</v>
      </c>
      <c r="C153" s="27">
        <v>44.398879775955187</v>
      </c>
      <c r="D153" s="27">
        <v>45.568227290916369</v>
      </c>
      <c r="E153" s="27">
        <v>46.603981194358305</v>
      </c>
      <c r="F153" s="27">
        <v>47.599519903980799</v>
      </c>
      <c r="G153" s="27">
        <v>48.549709941988397</v>
      </c>
      <c r="H153" s="27">
        <v>49.314931493149324</v>
      </c>
      <c r="I153" s="27">
        <v>50.725072507250729</v>
      </c>
      <c r="J153" s="27">
        <v>51.9</v>
      </c>
      <c r="K153" s="27">
        <v>53.220644128825761</v>
      </c>
      <c r="L153" s="27">
        <v>54.846453936180851</v>
      </c>
      <c r="M153" s="27">
        <v>56.035603560356044</v>
      </c>
      <c r="N153" s="27">
        <v>56.991398279655925</v>
      </c>
      <c r="O153" s="27">
        <v>58.245824582458255</v>
      </c>
    </row>
    <row r="154" spans="1:15" x14ac:dyDescent="0.25">
      <c r="A154" s="2">
        <v>150</v>
      </c>
      <c r="B154" s="27">
        <v>42.472741822546759</v>
      </c>
      <c r="C154" s="27">
        <v>44.148829765953188</v>
      </c>
      <c r="D154" s="27">
        <v>45.278111244497808</v>
      </c>
      <c r="E154" s="27">
        <v>46.33390017005101</v>
      </c>
      <c r="F154" s="27">
        <v>47.309461892378472</v>
      </c>
      <c r="G154" s="27">
        <v>48.249649929985999</v>
      </c>
      <c r="H154" s="27">
        <v>49.024902490249033</v>
      </c>
      <c r="I154" s="27">
        <v>50.455045504550462</v>
      </c>
      <c r="J154" s="27">
        <v>51.61</v>
      </c>
      <c r="K154" s="27">
        <v>52.950590118023598</v>
      </c>
      <c r="L154" s="27">
        <v>54.596378913674094</v>
      </c>
      <c r="M154" s="27">
        <v>55.775577557755788</v>
      </c>
      <c r="N154" s="27">
        <v>56.731346269253848</v>
      </c>
      <c r="O154" s="27">
        <v>57.985798579857992</v>
      </c>
    </row>
    <row r="155" spans="1:15" x14ac:dyDescent="0.25">
      <c r="A155" s="2">
        <v>151</v>
      </c>
      <c r="B155" s="27">
        <v>42.202660798239464</v>
      </c>
      <c r="C155" s="27">
        <v>43.888777755551111</v>
      </c>
      <c r="D155" s="27">
        <v>44.977991196478598</v>
      </c>
      <c r="E155" s="27">
        <v>46.063819145743715</v>
      </c>
      <c r="F155" s="27">
        <v>47.039407881576317</v>
      </c>
      <c r="G155" s="27">
        <v>47.969593918783758</v>
      </c>
      <c r="H155" s="27">
        <v>48.734873487348736</v>
      </c>
      <c r="I155" s="27">
        <v>50.185018501850195</v>
      </c>
      <c r="J155" s="27">
        <v>51.32</v>
      </c>
      <c r="K155" s="27">
        <v>52.690538107621521</v>
      </c>
      <c r="L155" s="27">
        <v>54.336300890267076</v>
      </c>
      <c r="M155" s="27">
        <v>55.515551555155518</v>
      </c>
      <c r="N155" s="27">
        <v>56.441288257651529</v>
      </c>
      <c r="O155" s="27">
        <v>57.715771577157724</v>
      </c>
    </row>
    <row r="156" spans="1:15" x14ac:dyDescent="0.25">
      <c r="A156" s="2">
        <v>152</v>
      </c>
      <c r="B156" s="27">
        <v>41.932579773932176</v>
      </c>
      <c r="C156" s="27">
        <v>43.598719743948791</v>
      </c>
      <c r="D156" s="27">
        <v>44.68787515006003</v>
      </c>
      <c r="E156" s="27">
        <v>45.783735120536164</v>
      </c>
      <c r="F156" s="27">
        <v>46.779355871174239</v>
      </c>
      <c r="G156" s="27">
        <v>47.689537907581517</v>
      </c>
      <c r="H156" s="27">
        <v>48.464846484648476</v>
      </c>
      <c r="I156" s="27">
        <v>49.904990499049909</v>
      </c>
      <c r="J156" s="27">
        <v>51.04</v>
      </c>
      <c r="K156" s="27">
        <v>52.430486097219443</v>
      </c>
      <c r="L156" s="27">
        <v>54.056216865059511</v>
      </c>
      <c r="M156" s="27">
        <v>55.255525552555262</v>
      </c>
      <c r="N156" s="27">
        <v>56.161232246449288</v>
      </c>
      <c r="O156" s="27">
        <v>57.455745574557469</v>
      </c>
    </row>
    <row r="157" spans="1:15" x14ac:dyDescent="0.25">
      <c r="A157" s="2">
        <v>153</v>
      </c>
      <c r="B157" s="27">
        <v>41.682504751425427</v>
      </c>
      <c r="C157" s="27">
        <v>43.31866373274655</v>
      </c>
      <c r="D157" s="27">
        <v>44.447779111644664</v>
      </c>
      <c r="E157" s="27">
        <v>45.513654096228869</v>
      </c>
      <c r="F157" s="27">
        <v>46.509301860372069</v>
      </c>
      <c r="G157" s="27">
        <v>47.409481896379269</v>
      </c>
      <c r="H157" s="27">
        <v>48.204820482048213</v>
      </c>
      <c r="I157" s="27">
        <v>49.604960496049614</v>
      </c>
      <c r="J157" s="27">
        <v>50.76</v>
      </c>
      <c r="K157" s="27">
        <v>52.160432086417281</v>
      </c>
      <c r="L157" s="27">
        <v>53.786135840752223</v>
      </c>
      <c r="M157" s="27">
        <v>54.985498549854988</v>
      </c>
      <c r="N157" s="27">
        <v>55.90118023604721</v>
      </c>
      <c r="O157" s="27">
        <v>57.195719571957198</v>
      </c>
    </row>
    <row r="158" spans="1:15" x14ac:dyDescent="0.25">
      <c r="A158" s="2">
        <v>154</v>
      </c>
      <c r="B158" s="27">
        <v>41.422426728018401</v>
      </c>
      <c r="C158" s="27">
        <v>43.058611722344466</v>
      </c>
      <c r="D158" s="27">
        <v>44.207683073229298</v>
      </c>
      <c r="E158" s="27">
        <v>45.243573071921567</v>
      </c>
      <c r="F158" s="27">
        <v>46.249249849969992</v>
      </c>
      <c r="G158" s="27">
        <v>47.129425885177028</v>
      </c>
      <c r="H158" s="27">
        <v>47.924792479247934</v>
      </c>
      <c r="I158" s="27">
        <v>49.314931493149324</v>
      </c>
      <c r="J158" s="27">
        <v>50.49</v>
      </c>
      <c r="K158" s="27">
        <v>51.890378075615125</v>
      </c>
      <c r="L158" s="27">
        <v>53.526057817345198</v>
      </c>
      <c r="M158" s="27">
        <v>54.695469546954698</v>
      </c>
      <c r="N158" s="27">
        <v>55.651130226045204</v>
      </c>
      <c r="O158" s="27">
        <v>56.935693569356943</v>
      </c>
    </row>
    <row r="159" spans="1:15" x14ac:dyDescent="0.25">
      <c r="A159" s="2">
        <v>155</v>
      </c>
      <c r="B159" s="27">
        <v>41.152345703711113</v>
      </c>
      <c r="C159" s="27">
        <v>42.798559711942389</v>
      </c>
      <c r="D159" s="27">
        <v>43.947579031612655</v>
      </c>
      <c r="E159" s="27">
        <v>44.95348604581374</v>
      </c>
      <c r="F159" s="27">
        <v>45.989197839567908</v>
      </c>
      <c r="G159" s="27">
        <v>46.859371874374872</v>
      </c>
      <c r="H159" s="27">
        <v>47.654765476547659</v>
      </c>
      <c r="I159" s="27">
        <v>49.044904490449049</v>
      </c>
      <c r="J159" s="27">
        <v>50.23</v>
      </c>
      <c r="K159" s="27">
        <v>51.600320064012806</v>
      </c>
      <c r="L159" s="27">
        <v>53.245973792137633</v>
      </c>
      <c r="M159" s="27">
        <v>54.415441544154419</v>
      </c>
      <c r="N159" s="27">
        <v>55.401080216043205</v>
      </c>
      <c r="O159" s="27">
        <v>56.665666566656668</v>
      </c>
    </row>
    <row r="160" spans="1:15" x14ac:dyDescent="0.25">
      <c r="A160" s="2">
        <v>156</v>
      </c>
      <c r="B160" s="27">
        <v>40.872261678503548</v>
      </c>
      <c r="C160" s="27">
        <v>42.558511702340461</v>
      </c>
      <c r="D160" s="27">
        <v>43.657462985194087</v>
      </c>
      <c r="E160" s="27">
        <v>44.663399019705906</v>
      </c>
      <c r="F160" s="27">
        <v>45.709141828365674</v>
      </c>
      <c r="G160" s="27">
        <v>46.599319863972795</v>
      </c>
      <c r="H160" s="27">
        <v>47.394739473947403</v>
      </c>
      <c r="I160" s="27">
        <v>48.784878487848793</v>
      </c>
      <c r="J160" s="27">
        <v>49.97</v>
      </c>
      <c r="K160" s="27">
        <v>51.340268053610721</v>
      </c>
      <c r="L160" s="27">
        <v>52.985895768730614</v>
      </c>
      <c r="M160" s="27">
        <v>54.165416541654167</v>
      </c>
      <c r="N160" s="27">
        <v>55.131026205241042</v>
      </c>
      <c r="O160" s="27">
        <v>56.415641564156417</v>
      </c>
    </row>
    <row r="161" spans="1:15" x14ac:dyDescent="0.25">
      <c r="A161" s="2">
        <v>157</v>
      </c>
      <c r="B161" s="27">
        <v>40.592177653295984</v>
      </c>
      <c r="C161" s="27">
        <v>42.308461692338462</v>
      </c>
      <c r="D161" s="27">
        <v>43.387354941976795</v>
      </c>
      <c r="E161" s="27">
        <v>44.403320996298888</v>
      </c>
      <c r="F161" s="27">
        <v>45.419083816763347</v>
      </c>
      <c r="G161" s="27">
        <v>46.329265853170632</v>
      </c>
      <c r="H161" s="27">
        <v>47.134713471347141</v>
      </c>
      <c r="I161" s="27">
        <v>48.494849484948503</v>
      </c>
      <c r="J161" s="27">
        <v>49.69</v>
      </c>
      <c r="K161" s="27">
        <v>51.080216043208637</v>
      </c>
      <c r="L161" s="27">
        <v>52.715814744423326</v>
      </c>
      <c r="M161" s="27">
        <v>53.925392539253934</v>
      </c>
      <c r="N161" s="27">
        <v>54.880976195239043</v>
      </c>
      <c r="O161" s="27">
        <v>56.175617561756184</v>
      </c>
    </row>
    <row r="162" spans="1:15" x14ac:dyDescent="0.25">
      <c r="A162" s="2">
        <v>158</v>
      </c>
      <c r="B162" s="27">
        <v>40.332099629888965</v>
      </c>
      <c r="C162" s="27">
        <v>42.058411682336462</v>
      </c>
      <c r="D162" s="27">
        <v>43.137254901960787</v>
      </c>
      <c r="E162" s="27">
        <v>44.153245973792139</v>
      </c>
      <c r="F162" s="27">
        <v>45.15903180636127</v>
      </c>
      <c r="G162" s="27">
        <v>46.069213842768555</v>
      </c>
      <c r="H162" s="27">
        <v>46.834683468346839</v>
      </c>
      <c r="I162" s="27">
        <v>48.214821482148224</v>
      </c>
      <c r="J162" s="27">
        <v>49.41</v>
      </c>
      <c r="K162" s="27">
        <v>50.800160032006396</v>
      </c>
      <c r="L162" s="27">
        <v>52.465739721916577</v>
      </c>
      <c r="M162" s="27">
        <v>53.665366536653671</v>
      </c>
      <c r="N162" s="27">
        <v>54.620924184836966</v>
      </c>
      <c r="O162" s="27">
        <v>55.925592559255932</v>
      </c>
    </row>
    <row r="163" spans="1:15" x14ac:dyDescent="0.25">
      <c r="A163" s="2">
        <v>159</v>
      </c>
      <c r="B163" s="27">
        <v>40.082024607382209</v>
      </c>
      <c r="C163" s="27">
        <v>41.788357671534307</v>
      </c>
      <c r="D163" s="27">
        <v>42.887154861944779</v>
      </c>
      <c r="E163" s="27">
        <v>43.893167950385113</v>
      </c>
      <c r="F163" s="27">
        <v>44.898979795959193</v>
      </c>
      <c r="G163" s="27">
        <v>45.799159831966392</v>
      </c>
      <c r="H163" s="27">
        <v>46.544654465446548</v>
      </c>
      <c r="I163" s="27">
        <v>47.964796479647973</v>
      </c>
      <c r="J163" s="27">
        <v>49.14</v>
      </c>
      <c r="K163" s="27">
        <v>50.520104020804155</v>
      </c>
      <c r="L163" s="27">
        <v>52.215664699409821</v>
      </c>
      <c r="M163" s="27">
        <v>53.41534153415342</v>
      </c>
      <c r="N163" s="27">
        <v>54.35087017403481</v>
      </c>
      <c r="O163" s="27">
        <v>55.675567556755688</v>
      </c>
    </row>
    <row r="164" spans="1:15" x14ac:dyDescent="0.25">
      <c r="A164" s="2">
        <v>160</v>
      </c>
      <c r="B164" s="27">
        <v>39.841952585775729</v>
      </c>
      <c r="C164" s="27">
        <v>41.508301660332066</v>
      </c>
      <c r="D164" s="27">
        <v>42.637054821928778</v>
      </c>
      <c r="E164" s="27">
        <v>43.633089926978087</v>
      </c>
      <c r="F164" s="27">
        <v>44.62892578515703</v>
      </c>
      <c r="G164" s="27">
        <v>45.529105821164237</v>
      </c>
      <c r="H164" s="27">
        <v>46.274627462746281</v>
      </c>
      <c r="I164" s="27">
        <v>47.744774477447756</v>
      </c>
      <c r="J164" s="27">
        <v>48.88</v>
      </c>
      <c r="K164" s="27">
        <v>50.250050010001999</v>
      </c>
      <c r="L164" s="27">
        <v>51.965589676903072</v>
      </c>
      <c r="M164" s="27">
        <v>53.165316531653168</v>
      </c>
      <c r="N164" s="27">
        <v>54.090818163632726</v>
      </c>
      <c r="O164" s="27">
        <v>55.425542554255436</v>
      </c>
    </row>
    <row r="165" spans="1:15" x14ac:dyDescent="0.25">
      <c r="A165" s="2">
        <v>161</v>
      </c>
      <c r="B165" s="27">
        <v>39.60188056416925</v>
      </c>
      <c r="C165" s="27">
        <v>41.228245649129825</v>
      </c>
      <c r="D165" s="27">
        <v>42.366946778711494</v>
      </c>
      <c r="E165" s="27">
        <v>43.363008902670799</v>
      </c>
      <c r="F165" s="27">
        <v>44.368873774754945</v>
      </c>
      <c r="G165" s="27">
        <v>45.269053810762145</v>
      </c>
      <c r="H165" s="27">
        <v>46.014601460146018</v>
      </c>
      <c r="I165" s="27">
        <v>47.474747474747481</v>
      </c>
      <c r="J165" s="27">
        <v>48.62</v>
      </c>
      <c r="K165" s="27">
        <v>49.989997999599915</v>
      </c>
      <c r="L165" s="27">
        <v>51.705511653496046</v>
      </c>
      <c r="M165" s="27">
        <v>52.895289528952901</v>
      </c>
      <c r="N165" s="27">
        <v>53.850770154030805</v>
      </c>
      <c r="O165" s="27">
        <v>55.185518551855196</v>
      </c>
    </row>
    <row r="166" spans="1:15" x14ac:dyDescent="0.25">
      <c r="A166" s="2">
        <v>162</v>
      </c>
      <c r="B166" s="27">
        <v>39.36180854256277</v>
      </c>
      <c r="C166" s="27">
        <v>40.958191638327669</v>
      </c>
      <c r="D166" s="27">
        <v>42.096838735494202</v>
      </c>
      <c r="E166" s="27">
        <v>43.102930879263781</v>
      </c>
      <c r="F166" s="27">
        <v>44.108821764352868</v>
      </c>
      <c r="G166" s="27">
        <v>44.998999799959989</v>
      </c>
      <c r="H166" s="27">
        <v>45.764576457645767</v>
      </c>
      <c r="I166" s="27">
        <v>47.174717471747186</v>
      </c>
      <c r="J166" s="27">
        <v>48.36</v>
      </c>
      <c r="K166" s="27">
        <v>49.729945989197837</v>
      </c>
      <c r="L166" s="27">
        <v>51.45543663098929</v>
      </c>
      <c r="M166" s="27">
        <v>52.625262526252627</v>
      </c>
      <c r="N166" s="27">
        <v>53.610722144428884</v>
      </c>
      <c r="O166" s="27">
        <v>54.915491549154922</v>
      </c>
    </row>
    <row r="167" spans="1:15" x14ac:dyDescent="0.25">
      <c r="A167" s="2">
        <v>163</v>
      </c>
      <c r="B167" s="27">
        <v>39.121736520956283</v>
      </c>
      <c r="C167" s="27">
        <v>40.728145629125819</v>
      </c>
      <c r="D167" s="27">
        <v>41.83673469387756</v>
      </c>
      <c r="E167" s="27">
        <v>42.842852855856755</v>
      </c>
      <c r="F167" s="27">
        <v>43.848769753950791</v>
      </c>
      <c r="G167" s="27">
        <v>44.738947789557905</v>
      </c>
      <c r="H167" s="27">
        <v>45.514551455145522</v>
      </c>
      <c r="I167" s="27">
        <v>46.914691469146916</v>
      </c>
      <c r="J167" s="27">
        <v>48.1</v>
      </c>
      <c r="K167" s="27">
        <v>49.46989397879576</v>
      </c>
      <c r="L167" s="27">
        <v>51.205361608482541</v>
      </c>
      <c r="M167" s="27">
        <v>52.395239523952405</v>
      </c>
      <c r="N167" s="27">
        <v>53.370674134826963</v>
      </c>
      <c r="O167" s="27">
        <v>54.66546654665467</v>
      </c>
    </row>
    <row r="168" spans="1:15" x14ac:dyDescent="0.25">
      <c r="A168" s="2">
        <v>164</v>
      </c>
      <c r="B168" s="27">
        <v>38.871661498449534</v>
      </c>
      <c r="C168" s="27">
        <v>40.488097619523899</v>
      </c>
      <c r="D168" s="27">
        <v>41.586634653861552</v>
      </c>
      <c r="E168" s="27">
        <v>42.582774832449729</v>
      </c>
      <c r="F168" s="27">
        <v>43.56871374274855</v>
      </c>
      <c r="G168" s="27">
        <v>44.478895779155827</v>
      </c>
      <c r="H168" s="27">
        <v>45.264526452645271</v>
      </c>
      <c r="I168" s="27">
        <v>46.684668466846688</v>
      </c>
      <c r="J168" s="27">
        <v>47.82</v>
      </c>
      <c r="K168" s="27">
        <v>49.219843968793761</v>
      </c>
      <c r="L168" s="27">
        <v>50.955286585975784</v>
      </c>
      <c r="M168" s="27">
        <v>52.155215521552158</v>
      </c>
      <c r="N168" s="27">
        <v>53.120624124824964</v>
      </c>
      <c r="O168" s="27">
        <v>54.445444544454453</v>
      </c>
    </row>
    <row r="169" spans="1:15" x14ac:dyDescent="0.25">
      <c r="A169" s="2">
        <v>165</v>
      </c>
      <c r="B169" s="27">
        <v>38.621586475942777</v>
      </c>
      <c r="C169" s="27">
        <v>40.248049609921985</v>
      </c>
      <c r="D169" s="27">
        <v>41.326530612244909</v>
      </c>
      <c r="E169" s="27">
        <v>42.33269980994298</v>
      </c>
      <c r="F169" s="27">
        <v>43.288657731546309</v>
      </c>
      <c r="G169" s="27">
        <v>44.21884376875375</v>
      </c>
      <c r="H169" s="27">
        <v>44.994499449945003</v>
      </c>
      <c r="I169" s="27">
        <v>46.424642464246432</v>
      </c>
      <c r="J169" s="27">
        <v>47.56</v>
      </c>
      <c r="K169" s="27">
        <v>48.979795959191833</v>
      </c>
      <c r="L169" s="27">
        <v>50.695208562568766</v>
      </c>
      <c r="M169" s="27">
        <v>51.895189518951902</v>
      </c>
      <c r="N169" s="27">
        <v>52.860572114422887</v>
      </c>
      <c r="O169" s="27">
        <v>54.215421542154225</v>
      </c>
    </row>
    <row r="170" spans="1:15" x14ac:dyDescent="0.25">
      <c r="A170" s="2">
        <v>166</v>
      </c>
      <c r="B170" s="27">
        <v>38.371511453436028</v>
      </c>
      <c r="C170" s="27">
        <v>40.008001600320064</v>
      </c>
      <c r="D170" s="27">
        <v>41.056422569027617</v>
      </c>
      <c r="E170" s="27">
        <v>42.092627788336493</v>
      </c>
      <c r="F170" s="27">
        <v>43.008601720344068</v>
      </c>
      <c r="G170" s="27">
        <v>43.968793758751751</v>
      </c>
      <c r="H170" s="27">
        <v>44.724472447244729</v>
      </c>
      <c r="I170" s="27">
        <v>46.144614461446153</v>
      </c>
      <c r="J170" s="27">
        <v>47.31</v>
      </c>
      <c r="K170" s="27">
        <v>48.719743948789755</v>
      </c>
      <c r="L170" s="27">
        <v>50.425127538261471</v>
      </c>
      <c r="M170" s="27">
        <v>51.635163516351646</v>
      </c>
      <c r="N170" s="27">
        <v>52.630526105221037</v>
      </c>
      <c r="O170" s="27">
        <v>53.965396539653973</v>
      </c>
    </row>
    <row r="171" spans="1:15" x14ac:dyDescent="0.25">
      <c r="A171" s="2">
        <v>167</v>
      </c>
      <c r="B171" s="27">
        <v>38.131439431829541</v>
      </c>
      <c r="C171" s="27">
        <v>39.767953590718143</v>
      </c>
      <c r="D171" s="27">
        <v>40.816326530612251</v>
      </c>
      <c r="E171" s="27">
        <v>41.842552765829744</v>
      </c>
      <c r="F171" s="27">
        <v>42.74854970994199</v>
      </c>
      <c r="G171" s="27">
        <v>43.718743748749752</v>
      </c>
      <c r="H171" s="27">
        <v>44.464446444644473</v>
      </c>
      <c r="I171" s="27">
        <v>45.894589458945902</v>
      </c>
      <c r="J171" s="27">
        <v>47.06</v>
      </c>
      <c r="K171" s="27">
        <v>48.449689937987593</v>
      </c>
      <c r="L171" s="27">
        <v>50.145043513053913</v>
      </c>
      <c r="M171" s="27">
        <v>51.395139513951406</v>
      </c>
      <c r="N171" s="27">
        <v>52.400480096019201</v>
      </c>
      <c r="O171" s="27">
        <v>53.725372537253733</v>
      </c>
    </row>
    <row r="172" spans="1:15" x14ac:dyDescent="0.25">
      <c r="A172" s="2">
        <v>168</v>
      </c>
      <c r="B172" s="27">
        <v>37.891367410223069</v>
      </c>
      <c r="C172" s="27">
        <v>39.537907581516301</v>
      </c>
      <c r="D172" s="27">
        <v>40.596238495398161</v>
      </c>
      <c r="E172" s="27">
        <v>41.592477743322995</v>
      </c>
      <c r="F172" s="27">
        <v>42.518503700740148</v>
      </c>
      <c r="G172" s="27">
        <v>43.458691738347667</v>
      </c>
      <c r="H172" s="27">
        <v>44.214421442144221</v>
      </c>
      <c r="I172" s="27">
        <v>45.654565456545662</v>
      </c>
      <c r="J172" s="27">
        <v>46.8</v>
      </c>
      <c r="K172" s="27">
        <v>48.189637927585515</v>
      </c>
      <c r="L172" s="27">
        <v>49.894968490547164</v>
      </c>
      <c r="M172" s="27">
        <v>51.145114511451155</v>
      </c>
      <c r="N172" s="27">
        <v>52.150430086017202</v>
      </c>
      <c r="O172" s="27">
        <v>53.485348534853493</v>
      </c>
    </row>
    <row r="173" spans="1:15" x14ac:dyDescent="0.25">
      <c r="A173" s="2">
        <v>169</v>
      </c>
      <c r="B173" s="27">
        <v>37.641292387716312</v>
      </c>
      <c r="C173" s="27">
        <v>39.29785957191438</v>
      </c>
      <c r="D173" s="27">
        <v>40.34613845538216</v>
      </c>
      <c r="E173" s="27">
        <v>41.322396719015707</v>
      </c>
      <c r="F173" s="27">
        <v>42.288457691538305</v>
      </c>
      <c r="G173" s="27">
        <v>43.218643728745747</v>
      </c>
      <c r="H173" s="27">
        <v>43.96439643964397</v>
      </c>
      <c r="I173" s="27">
        <v>45.40454045404541</v>
      </c>
      <c r="J173" s="27">
        <v>46.55</v>
      </c>
      <c r="K173" s="27">
        <v>47.949589917983594</v>
      </c>
      <c r="L173" s="27">
        <v>49.664899469840947</v>
      </c>
      <c r="M173" s="27">
        <v>50.895089508950903</v>
      </c>
      <c r="N173" s="27">
        <v>51.910382076415281</v>
      </c>
      <c r="O173" s="27">
        <v>53.255325532553265</v>
      </c>
    </row>
    <row r="174" spans="1:15" x14ac:dyDescent="0.25">
      <c r="A174" s="2">
        <v>170</v>
      </c>
      <c r="B174" s="27">
        <v>37.401220366109833</v>
      </c>
      <c r="C174" s="27">
        <v>39.057811562312459</v>
      </c>
      <c r="D174" s="27">
        <v>40.096038415366152</v>
      </c>
      <c r="E174" s="27">
        <v>41.08232469740922</v>
      </c>
      <c r="F174" s="27">
        <v>42.058411682336462</v>
      </c>
      <c r="G174" s="27">
        <v>42.968593718743747</v>
      </c>
      <c r="H174" s="27">
        <v>43.72437243724373</v>
      </c>
      <c r="I174" s="27">
        <v>45.144514451445154</v>
      </c>
      <c r="J174" s="27">
        <v>46.28</v>
      </c>
      <c r="K174" s="27">
        <v>47.709541908381674</v>
      </c>
      <c r="L174" s="27">
        <v>49.434830449134736</v>
      </c>
      <c r="M174" s="27">
        <v>50.655065506550663</v>
      </c>
      <c r="N174" s="27">
        <v>51.670334066813354</v>
      </c>
      <c r="O174" s="27">
        <v>53.005300530053013</v>
      </c>
    </row>
    <row r="175" spans="1:15" x14ac:dyDescent="0.25">
      <c r="A175" s="2">
        <v>171</v>
      </c>
      <c r="B175" s="27">
        <v>37.151145343603076</v>
      </c>
      <c r="C175" s="27">
        <v>38.817763552710545</v>
      </c>
      <c r="D175" s="27">
        <v>39.845938375350144</v>
      </c>
      <c r="E175" s="27">
        <v>40.85225567670301</v>
      </c>
      <c r="F175" s="27">
        <v>41.808361672334463</v>
      </c>
      <c r="G175" s="27">
        <v>42.728545709141827</v>
      </c>
      <c r="H175" s="27">
        <v>43.464346434643474</v>
      </c>
      <c r="I175" s="27">
        <v>44.894489448944903</v>
      </c>
      <c r="J175" s="27">
        <v>46.03</v>
      </c>
      <c r="K175" s="27">
        <v>47.469493898779753</v>
      </c>
      <c r="L175" s="27">
        <v>49.204761428428526</v>
      </c>
      <c r="M175" s="27">
        <v>50.415041504150416</v>
      </c>
      <c r="N175" s="27">
        <v>51.43028605721144</v>
      </c>
      <c r="O175" s="27">
        <v>52.765276527652773</v>
      </c>
    </row>
    <row r="176" spans="1:15" x14ac:dyDescent="0.25">
      <c r="A176" s="2">
        <v>172</v>
      </c>
      <c r="B176" s="27">
        <v>36.901070321096327</v>
      </c>
      <c r="C176" s="27">
        <v>38.557711542308461</v>
      </c>
      <c r="D176" s="27">
        <v>39.605842336934785</v>
      </c>
      <c r="E176" s="27">
        <v>40.61218365509653</v>
      </c>
      <c r="F176" s="27">
        <v>41.548309661932386</v>
      </c>
      <c r="G176" s="27">
        <v>42.478495699139827</v>
      </c>
      <c r="H176" s="27">
        <v>43.1943194319432</v>
      </c>
      <c r="I176" s="27">
        <v>44.624462446244628</v>
      </c>
      <c r="J176" s="27">
        <v>45.79</v>
      </c>
      <c r="K176" s="27">
        <v>47.229445889177832</v>
      </c>
      <c r="L176" s="27">
        <v>48.9446834050215</v>
      </c>
      <c r="M176" s="27">
        <v>50.165016501650172</v>
      </c>
      <c r="N176" s="27">
        <v>51.190238047609519</v>
      </c>
      <c r="O176" s="27">
        <v>52.525252525252533</v>
      </c>
    </row>
    <row r="177" spans="1:15" x14ac:dyDescent="0.25">
      <c r="A177" s="2">
        <v>173</v>
      </c>
      <c r="B177" s="27">
        <v>36.67100130039011</v>
      </c>
      <c r="C177" s="27">
        <v>38.31766353270654</v>
      </c>
      <c r="D177" s="27">
        <v>39.375750300120053</v>
      </c>
      <c r="E177" s="27">
        <v>40.352105631689504</v>
      </c>
      <c r="F177" s="27">
        <v>41.298259651930387</v>
      </c>
      <c r="G177" s="27">
        <v>42.228445689137821</v>
      </c>
      <c r="H177" s="27">
        <v>42.944294429442948</v>
      </c>
      <c r="I177" s="27">
        <v>44.374437443744377</v>
      </c>
      <c r="J177" s="27">
        <v>45.55</v>
      </c>
      <c r="K177" s="27">
        <v>46.989397879575911</v>
      </c>
      <c r="L177" s="27">
        <v>48.664599379813943</v>
      </c>
      <c r="M177" s="27">
        <v>49.924992499249932</v>
      </c>
      <c r="N177" s="27">
        <v>50.94018803760752</v>
      </c>
      <c r="O177" s="27">
        <v>52.285228522852293</v>
      </c>
    </row>
    <row r="178" spans="1:15" x14ac:dyDescent="0.25">
      <c r="A178" s="2">
        <v>174</v>
      </c>
      <c r="B178" s="27">
        <v>36.430929278783637</v>
      </c>
      <c r="C178" s="27">
        <v>38.107621524304861</v>
      </c>
      <c r="D178" s="27">
        <v>39.135654261704687</v>
      </c>
      <c r="E178" s="27">
        <v>40.102030609182755</v>
      </c>
      <c r="F178" s="27">
        <v>41.068213642728544</v>
      </c>
      <c r="G178" s="27">
        <v>41.978395679135822</v>
      </c>
      <c r="H178" s="27">
        <v>42.704270427042715</v>
      </c>
      <c r="I178" s="27">
        <v>44.134413441344144</v>
      </c>
      <c r="J178" s="27">
        <v>45.3</v>
      </c>
      <c r="K178" s="27">
        <v>46.739347869573912</v>
      </c>
      <c r="L178" s="27">
        <v>48.404521356406917</v>
      </c>
      <c r="M178" s="27">
        <v>49.684968496849692</v>
      </c>
      <c r="N178" s="27">
        <v>50.700140028005599</v>
      </c>
      <c r="O178" s="27">
        <v>52.065206520652076</v>
      </c>
    </row>
    <row r="179" spans="1:15" x14ac:dyDescent="0.25">
      <c r="A179" s="2">
        <v>175</v>
      </c>
      <c r="B179" s="27">
        <v>36.19085725717715</v>
      </c>
      <c r="C179" s="27">
        <v>37.887577515503104</v>
      </c>
      <c r="D179" s="27">
        <v>38.905562224889962</v>
      </c>
      <c r="E179" s="27">
        <v>39.851955586676006</v>
      </c>
      <c r="F179" s="27">
        <v>40.838167633526702</v>
      </c>
      <c r="G179" s="27">
        <v>41.718343668733745</v>
      </c>
      <c r="H179" s="27">
        <v>42.474247424742479</v>
      </c>
      <c r="I179" s="27">
        <v>43.904390439043908</v>
      </c>
      <c r="J179" s="27">
        <v>45.04</v>
      </c>
      <c r="K179" s="27">
        <v>46.489297859571906</v>
      </c>
      <c r="L179" s="27">
        <v>48.184455336600976</v>
      </c>
      <c r="M179" s="27">
        <v>49.444944494449452</v>
      </c>
      <c r="N179" s="27">
        <v>50.480096019203835</v>
      </c>
      <c r="O179" s="27">
        <v>51.83518351835184</v>
      </c>
    </row>
    <row r="180" spans="1:15" x14ac:dyDescent="0.25">
      <c r="A180" s="2">
        <v>176</v>
      </c>
      <c r="B180" s="27">
        <v>35.96078823647094</v>
      </c>
      <c r="C180" s="27">
        <v>37.657531506301254</v>
      </c>
      <c r="D180" s="27">
        <v>38.665466186474596</v>
      </c>
      <c r="E180" s="27">
        <v>39.621886565969788</v>
      </c>
      <c r="F180" s="27">
        <v>40.598119623924788</v>
      </c>
      <c r="G180" s="27">
        <v>41.458291658331667</v>
      </c>
      <c r="H180" s="27">
        <v>42.234223422342239</v>
      </c>
      <c r="I180" s="27">
        <v>43.664366436643668</v>
      </c>
      <c r="J180" s="27">
        <v>44.78</v>
      </c>
      <c r="K180" s="27">
        <v>46.229245849169828</v>
      </c>
      <c r="L180" s="27">
        <v>47.954386315894766</v>
      </c>
      <c r="M180" s="27">
        <v>49.1949194919492</v>
      </c>
      <c r="N180" s="27">
        <v>50.230046009201835</v>
      </c>
      <c r="O180" s="27">
        <v>51.585158515851589</v>
      </c>
    </row>
    <row r="181" spans="1:15" x14ac:dyDescent="0.25">
      <c r="A181" s="2">
        <v>177</v>
      </c>
      <c r="B181" s="27">
        <v>35.730719215764729</v>
      </c>
      <c r="C181" s="27">
        <v>37.417483496699333</v>
      </c>
      <c r="D181" s="27">
        <v>38.415366146458588</v>
      </c>
      <c r="E181" s="27">
        <v>39.391817545263578</v>
      </c>
      <c r="F181" s="27">
        <v>40.368073614722945</v>
      </c>
      <c r="G181" s="27">
        <v>41.228245649129825</v>
      </c>
      <c r="H181" s="27">
        <v>41.984198419841988</v>
      </c>
      <c r="I181" s="27">
        <v>43.414341434143417</v>
      </c>
      <c r="J181" s="27">
        <v>44.55</v>
      </c>
      <c r="K181" s="27">
        <v>45.969193838767751</v>
      </c>
      <c r="L181" s="27">
        <v>47.724317295188555</v>
      </c>
      <c r="M181" s="27">
        <v>48.964896489648972</v>
      </c>
      <c r="N181" s="27">
        <v>49.969993998799758</v>
      </c>
      <c r="O181" s="27">
        <v>51.35513551355136</v>
      </c>
    </row>
    <row r="182" spans="1:15" x14ac:dyDescent="0.25">
      <c r="A182" s="2">
        <v>178</v>
      </c>
      <c r="B182" s="27">
        <v>35.510653195958788</v>
      </c>
      <c r="C182" s="27">
        <v>37.177435487097419</v>
      </c>
      <c r="D182" s="27">
        <v>38.185274109643863</v>
      </c>
      <c r="E182" s="27">
        <v>39.16174852455736</v>
      </c>
      <c r="F182" s="27">
        <v>40.128025605121017</v>
      </c>
      <c r="G182" s="27">
        <v>41.00820164032806</v>
      </c>
      <c r="H182" s="27">
        <v>41.734173417341736</v>
      </c>
      <c r="I182" s="27">
        <v>43.174317431743184</v>
      </c>
      <c r="J182" s="27">
        <v>44.31</v>
      </c>
      <c r="K182" s="27">
        <v>45.739147829565908</v>
      </c>
      <c r="L182" s="27">
        <v>47.484245273582069</v>
      </c>
      <c r="M182" s="27">
        <v>48.734873487348736</v>
      </c>
      <c r="N182" s="27">
        <v>49.719943988797759</v>
      </c>
      <c r="O182" s="27">
        <v>51.135113511351143</v>
      </c>
    </row>
    <row r="183" spans="1:15" x14ac:dyDescent="0.25">
      <c r="A183" s="2">
        <v>179</v>
      </c>
      <c r="B183" s="27">
        <v>35.290587176152847</v>
      </c>
      <c r="C183" s="27">
        <v>36.96739347869574</v>
      </c>
      <c r="D183" s="27">
        <v>37.955182072829132</v>
      </c>
      <c r="E183" s="27">
        <v>38.931679503851157</v>
      </c>
      <c r="F183" s="27">
        <v>39.857971594318862</v>
      </c>
      <c r="G183" s="27">
        <v>40.778155631126225</v>
      </c>
      <c r="H183" s="27">
        <v>41.494149414941504</v>
      </c>
      <c r="I183" s="27">
        <v>42.944294429442948</v>
      </c>
      <c r="J183" s="27">
        <v>44.07</v>
      </c>
      <c r="K183" s="27">
        <v>45.529105821164237</v>
      </c>
      <c r="L183" s="27">
        <v>47.254176252875858</v>
      </c>
      <c r="M183" s="27">
        <v>48.494849484948503</v>
      </c>
      <c r="N183" s="27">
        <v>49.479895979195838</v>
      </c>
      <c r="O183" s="27">
        <v>50.905090509050908</v>
      </c>
    </row>
    <row r="184" spans="1:15" x14ac:dyDescent="0.25">
      <c r="A184" s="2">
        <v>180</v>
      </c>
      <c r="B184" s="27">
        <v>35.080524157247169</v>
      </c>
      <c r="C184" s="27">
        <v>36.727345469093819</v>
      </c>
      <c r="D184" s="27">
        <v>37.725090036014414</v>
      </c>
      <c r="E184" s="27">
        <v>38.69160748224467</v>
      </c>
      <c r="F184" s="27">
        <v>39.607921584316863</v>
      </c>
      <c r="G184" s="27">
        <v>40.538107621524304</v>
      </c>
      <c r="H184" s="27">
        <v>41.254125412541256</v>
      </c>
      <c r="I184" s="27">
        <v>42.704270427042715</v>
      </c>
      <c r="J184" s="27">
        <v>43.84</v>
      </c>
      <c r="K184" s="27">
        <v>45.27905581116223</v>
      </c>
      <c r="L184" s="27">
        <v>47.004101230369109</v>
      </c>
      <c r="M184" s="27">
        <v>48.264826482648267</v>
      </c>
      <c r="N184" s="27">
        <v>49.259851970394074</v>
      </c>
      <c r="O184" s="27">
        <v>50.685068506850691</v>
      </c>
    </row>
    <row r="185" spans="1:15" x14ac:dyDescent="0.25">
      <c r="A185" s="2">
        <v>181</v>
      </c>
      <c r="B185" s="27">
        <v>34.880464139241766</v>
      </c>
      <c r="C185" s="27">
        <v>36.457291458291657</v>
      </c>
      <c r="D185" s="27">
        <v>37.494997999199683</v>
      </c>
      <c r="E185" s="27">
        <v>38.441532459737921</v>
      </c>
      <c r="F185" s="27">
        <v>39.387877575515105</v>
      </c>
      <c r="G185" s="27">
        <v>40.298059611922383</v>
      </c>
      <c r="H185" s="27">
        <v>41.024102410241035</v>
      </c>
      <c r="I185" s="27">
        <v>42.454245424542464</v>
      </c>
      <c r="J185" s="27">
        <v>43.61</v>
      </c>
      <c r="K185" s="27">
        <v>45.029005801160231</v>
      </c>
      <c r="L185" s="27">
        <v>46.774032209662892</v>
      </c>
      <c r="M185" s="27">
        <v>48.034803480348046</v>
      </c>
      <c r="N185" s="27">
        <v>49.029805961192238</v>
      </c>
      <c r="O185" s="27">
        <v>50.465046504650473</v>
      </c>
    </row>
    <row r="186" spans="1:15" x14ac:dyDescent="0.25">
      <c r="A186" s="2">
        <v>182</v>
      </c>
      <c r="B186" s="27">
        <v>34.670401120336095</v>
      </c>
      <c r="C186" s="27">
        <v>36.247249449889978</v>
      </c>
      <c r="D186" s="27">
        <v>37.2749099639856</v>
      </c>
      <c r="E186" s="27">
        <v>38.211463439031711</v>
      </c>
      <c r="F186" s="27">
        <v>39.167833566713341</v>
      </c>
      <c r="G186" s="27">
        <v>40.048009601920384</v>
      </c>
      <c r="H186" s="27">
        <v>40.784078407840788</v>
      </c>
      <c r="I186" s="27">
        <v>42.204220422042212</v>
      </c>
      <c r="J186" s="27">
        <v>43.37</v>
      </c>
      <c r="K186" s="27">
        <v>44.798959791958389</v>
      </c>
      <c r="L186" s="27">
        <v>46.553966189856951</v>
      </c>
      <c r="M186" s="27">
        <v>47.80478047804781</v>
      </c>
      <c r="N186" s="27">
        <v>48.809761952390474</v>
      </c>
      <c r="O186" s="27">
        <v>50.215021502150222</v>
      </c>
    </row>
    <row r="187" spans="1:15" x14ac:dyDescent="0.25">
      <c r="A187" s="2">
        <v>183</v>
      </c>
      <c r="B187" s="27">
        <v>34.46033810143043</v>
      </c>
      <c r="C187" s="27">
        <v>36.057211442288455</v>
      </c>
      <c r="D187" s="27">
        <v>37.044817927170875</v>
      </c>
      <c r="E187" s="27">
        <v>38.001400420126039</v>
      </c>
      <c r="F187" s="27">
        <v>38.937787557511498</v>
      </c>
      <c r="G187" s="27">
        <v>39.797959591918378</v>
      </c>
      <c r="H187" s="27">
        <v>40.534053405340543</v>
      </c>
      <c r="I187" s="27">
        <v>41.974197419741976</v>
      </c>
      <c r="J187" s="27">
        <v>43.12</v>
      </c>
      <c r="K187" s="27">
        <v>44.58891778355671</v>
      </c>
      <c r="L187" s="27">
        <v>46.323897169150747</v>
      </c>
      <c r="M187" s="27">
        <v>47.574757475747582</v>
      </c>
      <c r="N187" s="27">
        <v>48.589717943588717</v>
      </c>
      <c r="O187" s="27">
        <v>49.984998499849986</v>
      </c>
    </row>
    <row r="188" spans="1:15" x14ac:dyDescent="0.25">
      <c r="A188" s="2">
        <v>184</v>
      </c>
      <c r="B188" s="27">
        <v>34.240272081624482</v>
      </c>
      <c r="C188" s="27">
        <v>35.847169433886776</v>
      </c>
      <c r="D188" s="27">
        <v>36.814725890356144</v>
      </c>
      <c r="E188" s="27">
        <v>37.781334400320098</v>
      </c>
      <c r="F188" s="27">
        <v>38.697739547909578</v>
      </c>
      <c r="G188" s="27">
        <v>39.567913582716542</v>
      </c>
      <c r="H188" s="27">
        <v>40.304030403040308</v>
      </c>
      <c r="I188" s="27">
        <v>41.754175417541759</v>
      </c>
      <c r="J188" s="27">
        <v>42.88</v>
      </c>
      <c r="K188" s="27">
        <v>44.368873774754945</v>
      </c>
      <c r="L188" s="27">
        <v>46.09382814844453</v>
      </c>
      <c r="M188" s="27">
        <v>47.344734473447353</v>
      </c>
      <c r="N188" s="27">
        <v>48.369673934786952</v>
      </c>
      <c r="O188" s="27">
        <v>49.764976497649769</v>
      </c>
    </row>
    <row r="189" spans="1:15" x14ac:dyDescent="0.25">
      <c r="A189" s="2">
        <v>185</v>
      </c>
      <c r="B189" s="27">
        <v>34.020206061818541</v>
      </c>
      <c r="C189" s="27">
        <v>35.627125425085012</v>
      </c>
      <c r="D189" s="27">
        <v>36.594637855142061</v>
      </c>
      <c r="E189" s="27">
        <v>37.551265379613881</v>
      </c>
      <c r="F189" s="27">
        <v>38.47769553910782</v>
      </c>
      <c r="G189" s="27">
        <v>39.347869573914785</v>
      </c>
      <c r="H189" s="27">
        <v>40.074007400740079</v>
      </c>
      <c r="I189" s="27">
        <v>41.534153415341542</v>
      </c>
      <c r="J189" s="27">
        <v>42.64</v>
      </c>
      <c r="K189" s="27">
        <v>44.128825765153024</v>
      </c>
      <c r="L189" s="27">
        <v>45.843753125937774</v>
      </c>
      <c r="M189" s="27">
        <v>47.104710471047113</v>
      </c>
      <c r="N189" s="27">
        <v>48.129625925185032</v>
      </c>
      <c r="O189" s="27">
        <v>49.544954495449552</v>
      </c>
    </row>
    <row r="190" spans="1:15" x14ac:dyDescent="0.25">
      <c r="A190" s="2">
        <v>186</v>
      </c>
      <c r="B190" s="27">
        <v>33.8001400420126</v>
      </c>
      <c r="C190" s="27">
        <v>35.397079415883177</v>
      </c>
      <c r="D190" s="27">
        <v>36.384553821528613</v>
      </c>
      <c r="E190" s="27">
        <v>37.311193358007394</v>
      </c>
      <c r="F190" s="27">
        <v>38.247649529905985</v>
      </c>
      <c r="G190" s="27">
        <v>39.127825565113021</v>
      </c>
      <c r="H190" s="27">
        <v>39.853985398539862</v>
      </c>
      <c r="I190" s="27">
        <v>41.294129412941302</v>
      </c>
      <c r="J190" s="27">
        <v>42.4</v>
      </c>
      <c r="K190" s="27">
        <v>43.878775755151025</v>
      </c>
      <c r="L190" s="27">
        <v>45.603681104331301</v>
      </c>
      <c r="M190" s="27">
        <v>46.864686468646873</v>
      </c>
      <c r="N190" s="27">
        <v>47.899579915983196</v>
      </c>
      <c r="O190" s="27">
        <v>49.304930493049312</v>
      </c>
    </row>
    <row r="191" spans="1:15" x14ac:dyDescent="0.25">
      <c r="A191" s="2">
        <v>187</v>
      </c>
      <c r="B191" s="27">
        <v>33.590077023106929</v>
      </c>
      <c r="C191" s="27">
        <v>35.147029405881177</v>
      </c>
      <c r="D191" s="27">
        <v>36.174469787915172</v>
      </c>
      <c r="E191" s="27">
        <v>37.081124337301191</v>
      </c>
      <c r="F191" s="27">
        <v>38.027605521104221</v>
      </c>
      <c r="G191" s="27">
        <v>38.907781556311257</v>
      </c>
      <c r="H191" s="27">
        <v>39.623962396239627</v>
      </c>
      <c r="I191" s="27">
        <v>41.054105410541055</v>
      </c>
      <c r="J191" s="27">
        <v>42.18</v>
      </c>
      <c r="K191" s="27">
        <v>43.64872974594919</v>
      </c>
      <c r="L191" s="27">
        <v>45.383615084525353</v>
      </c>
      <c r="M191" s="27">
        <v>46.634663466346645</v>
      </c>
      <c r="N191" s="27">
        <v>47.689537907581517</v>
      </c>
      <c r="O191" s="27">
        <v>49.084908490849088</v>
      </c>
    </row>
    <row r="192" spans="1:15" x14ac:dyDescent="0.25">
      <c r="A192" s="2">
        <v>188</v>
      </c>
      <c r="B192" s="27">
        <v>33.380014004201257</v>
      </c>
      <c r="C192" s="27">
        <v>34.916983396679328</v>
      </c>
      <c r="D192" s="27">
        <v>35.944377751100447</v>
      </c>
      <c r="E192" s="27">
        <v>36.871061318395519</v>
      </c>
      <c r="F192" s="27">
        <v>37.817563512702542</v>
      </c>
      <c r="G192" s="27">
        <v>38.687737547509499</v>
      </c>
      <c r="H192" s="27">
        <v>39.40394039403941</v>
      </c>
      <c r="I192" s="27">
        <v>40.824082408240827</v>
      </c>
      <c r="J192" s="27">
        <v>41.97</v>
      </c>
      <c r="K192" s="27">
        <v>43.418683736747347</v>
      </c>
      <c r="L192" s="27">
        <v>45.153546063819142</v>
      </c>
      <c r="M192" s="27">
        <v>46.41464146414642</v>
      </c>
      <c r="N192" s="27">
        <v>47.459491898379675</v>
      </c>
      <c r="O192" s="27">
        <v>48.864886488648871</v>
      </c>
    </row>
    <row r="193" spans="1:15" x14ac:dyDescent="0.25">
      <c r="A193" s="2">
        <v>189</v>
      </c>
      <c r="B193" s="27">
        <v>33.169950985295586</v>
      </c>
      <c r="C193" s="27">
        <v>34.726945389077812</v>
      </c>
      <c r="D193" s="27">
        <v>35.714285714285722</v>
      </c>
      <c r="E193" s="27">
        <v>36.691007302190656</v>
      </c>
      <c r="F193" s="27">
        <v>37.587517503500699</v>
      </c>
      <c r="G193" s="27">
        <v>38.467693538707742</v>
      </c>
      <c r="H193" s="27">
        <v>39.173917391739181</v>
      </c>
      <c r="I193" s="27">
        <v>40.60406040604061</v>
      </c>
      <c r="J193" s="27">
        <v>41.75</v>
      </c>
      <c r="K193" s="27">
        <v>43.188637727545505</v>
      </c>
      <c r="L193" s="27">
        <v>44.923477043112925</v>
      </c>
      <c r="M193" s="27">
        <v>46.194619461946196</v>
      </c>
      <c r="N193" s="27">
        <v>47.229445889177832</v>
      </c>
      <c r="O193" s="27">
        <v>48.644864486448654</v>
      </c>
    </row>
    <row r="194" spans="1:15" x14ac:dyDescent="0.25">
      <c r="A194" s="2">
        <v>190</v>
      </c>
      <c r="B194" s="27">
        <v>32.939881964589375</v>
      </c>
      <c r="C194" s="27">
        <v>34.546909381876375</v>
      </c>
      <c r="D194" s="27">
        <v>35.504201680672274</v>
      </c>
      <c r="E194" s="27">
        <v>36.480944283284984</v>
      </c>
      <c r="F194" s="27">
        <v>37.347469493898778</v>
      </c>
      <c r="G194" s="27">
        <v>38.247649529905985</v>
      </c>
      <c r="H194" s="27">
        <v>38.953895389538964</v>
      </c>
      <c r="I194" s="27">
        <v>40.394039403940397</v>
      </c>
      <c r="J194" s="27">
        <v>41.52</v>
      </c>
      <c r="K194" s="27">
        <v>42.948589717943584</v>
      </c>
      <c r="L194" s="27">
        <v>44.703411023306984</v>
      </c>
      <c r="M194" s="27">
        <v>45.984598459845991</v>
      </c>
      <c r="N194" s="27">
        <v>47.019403880776153</v>
      </c>
      <c r="O194" s="27">
        <v>48.414841484148418</v>
      </c>
    </row>
    <row r="195" spans="1:15" x14ac:dyDescent="0.25">
      <c r="A195" s="2">
        <v>191</v>
      </c>
      <c r="B195" s="27">
        <v>32.709812943883165</v>
      </c>
      <c r="C195" s="27">
        <v>34.346869373874775</v>
      </c>
      <c r="D195" s="27">
        <v>35.294117647058833</v>
      </c>
      <c r="E195" s="27">
        <v>36.260878263479043</v>
      </c>
      <c r="F195" s="27">
        <v>37.127425485097014</v>
      </c>
      <c r="G195" s="27">
        <v>38.017603520704135</v>
      </c>
      <c r="H195" s="27">
        <v>38.733873387338733</v>
      </c>
      <c r="I195" s="27">
        <v>40.17401740174018</v>
      </c>
      <c r="J195" s="27">
        <v>41.29</v>
      </c>
      <c r="K195" s="27">
        <v>42.718543708741748</v>
      </c>
      <c r="L195" s="27">
        <v>44.493348004401312</v>
      </c>
      <c r="M195" s="27">
        <v>45.764576457645767</v>
      </c>
      <c r="N195" s="27">
        <v>46.799359871974389</v>
      </c>
      <c r="O195" s="27">
        <v>48.214821482148224</v>
      </c>
    </row>
    <row r="196" spans="1:15" x14ac:dyDescent="0.25">
      <c r="A196" s="2">
        <v>192</v>
      </c>
      <c r="B196" s="27">
        <v>32.489746924077217</v>
      </c>
      <c r="C196" s="27">
        <v>34.12682536507301</v>
      </c>
      <c r="D196" s="27">
        <v>35.104041616646668</v>
      </c>
      <c r="E196" s="27">
        <v>36.040812243673102</v>
      </c>
      <c r="F196" s="27">
        <v>36.917383476695335</v>
      </c>
      <c r="G196" s="27">
        <v>37.7875575115023</v>
      </c>
      <c r="H196" s="27">
        <v>38.503850385038511</v>
      </c>
      <c r="I196" s="27">
        <v>39.953995399539963</v>
      </c>
      <c r="J196" s="27">
        <v>41.06</v>
      </c>
      <c r="K196" s="27">
        <v>42.508501700340069</v>
      </c>
      <c r="L196" s="27">
        <v>44.273281984595371</v>
      </c>
      <c r="M196" s="27">
        <v>45.524552455245534</v>
      </c>
      <c r="N196" s="27">
        <v>46.569313862772553</v>
      </c>
      <c r="O196" s="27">
        <v>48.004800480048011</v>
      </c>
    </row>
    <row r="197" spans="1:15" x14ac:dyDescent="0.25">
      <c r="A197" s="2">
        <v>193</v>
      </c>
      <c r="B197" s="27">
        <v>32.289686906071822</v>
      </c>
      <c r="C197" s="27">
        <v>33.906781356271253</v>
      </c>
      <c r="D197" s="27">
        <v>34.913965586234497</v>
      </c>
      <c r="E197" s="27">
        <v>35.820746223867161</v>
      </c>
      <c r="F197" s="27">
        <v>36.707341468293663</v>
      </c>
      <c r="G197" s="27">
        <v>37.557511502300457</v>
      </c>
      <c r="H197" s="27">
        <v>38.273827382738283</v>
      </c>
      <c r="I197" s="27">
        <v>39.713971397139723</v>
      </c>
      <c r="J197" s="27">
        <v>40.85</v>
      </c>
      <c r="K197" s="27">
        <v>42.298459691938383</v>
      </c>
      <c r="L197" s="27">
        <v>44.043212963889168</v>
      </c>
      <c r="M197" s="27">
        <v>45.284528452845294</v>
      </c>
      <c r="N197" s="27">
        <v>46.339267853570711</v>
      </c>
      <c r="O197" s="27">
        <v>47.774777477747783</v>
      </c>
    </row>
    <row r="198" spans="1:15" x14ac:dyDescent="0.25">
      <c r="A198" s="2">
        <v>194</v>
      </c>
      <c r="B198" s="27">
        <v>32.099629888966689</v>
      </c>
      <c r="C198" s="27">
        <v>33.696739347869567</v>
      </c>
      <c r="D198" s="27">
        <v>34.713885554221697</v>
      </c>
      <c r="E198" s="27">
        <v>35.590677203160944</v>
      </c>
      <c r="F198" s="27">
        <v>36.487297459491892</v>
      </c>
      <c r="G198" s="27">
        <v>37.3374674934987</v>
      </c>
      <c r="H198" s="27">
        <v>38.06380638063807</v>
      </c>
      <c r="I198" s="27">
        <v>39.483948394839487</v>
      </c>
      <c r="J198" s="27">
        <v>40.630000000000003</v>
      </c>
      <c r="K198" s="27">
        <v>42.078415683136626</v>
      </c>
      <c r="L198" s="27">
        <v>43.813143943182951</v>
      </c>
      <c r="M198" s="27">
        <v>45.074507450745081</v>
      </c>
      <c r="N198" s="27">
        <v>46.119223844768953</v>
      </c>
      <c r="O198" s="27">
        <v>47.554755475547559</v>
      </c>
    </row>
    <row r="199" spans="1:15" x14ac:dyDescent="0.25">
      <c r="A199" s="2">
        <v>195</v>
      </c>
      <c r="B199" s="27">
        <v>31.919575872761826</v>
      </c>
      <c r="C199" s="27">
        <v>33.496699339867973</v>
      </c>
      <c r="D199" s="27">
        <v>34.493797519007607</v>
      </c>
      <c r="E199" s="27">
        <v>35.360608182454733</v>
      </c>
      <c r="F199" s="27">
        <v>36.267253450690134</v>
      </c>
      <c r="G199" s="27">
        <v>37.117423484696936</v>
      </c>
      <c r="H199" s="27">
        <v>37.863786378637869</v>
      </c>
      <c r="I199" s="27">
        <v>39.26392639263927</v>
      </c>
      <c r="J199" s="27">
        <v>40.4</v>
      </c>
      <c r="K199" s="27">
        <v>41.868373674734947</v>
      </c>
      <c r="L199" s="27">
        <v>43.59307792337701</v>
      </c>
      <c r="M199" s="27">
        <v>44.87448744874488</v>
      </c>
      <c r="N199" s="27">
        <v>45.899179835967189</v>
      </c>
      <c r="O199" s="27">
        <v>47.334733473347342</v>
      </c>
    </row>
    <row r="200" spans="1:15" x14ac:dyDescent="0.25">
      <c r="A200" s="2">
        <v>196</v>
      </c>
      <c r="B200" s="27">
        <v>31.729518855656693</v>
      </c>
      <c r="C200" s="27">
        <v>33.296659331866373</v>
      </c>
      <c r="D200" s="27">
        <v>34.263705482192883</v>
      </c>
      <c r="E200" s="27">
        <v>35.160548164449331</v>
      </c>
      <c r="F200" s="27">
        <v>36.057211442288455</v>
      </c>
      <c r="G200" s="27">
        <v>36.907381476295257</v>
      </c>
      <c r="H200" s="27">
        <v>37.643764376437652</v>
      </c>
      <c r="I200" s="27">
        <v>39.043904390439046</v>
      </c>
      <c r="J200" s="27">
        <v>40.159999999999997</v>
      </c>
      <c r="K200" s="27">
        <v>41.658331666333261</v>
      </c>
      <c r="L200" s="27">
        <v>43.363008902670799</v>
      </c>
      <c r="M200" s="27">
        <v>44.654465446544663</v>
      </c>
      <c r="N200" s="27">
        <v>45.699139827965588</v>
      </c>
      <c r="O200" s="27">
        <v>47.104710471047113</v>
      </c>
    </row>
    <row r="201" spans="1:15" x14ac:dyDescent="0.25">
      <c r="A201" s="2">
        <v>197</v>
      </c>
      <c r="B201" s="27">
        <v>31.529458837651294</v>
      </c>
      <c r="C201" s="27">
        <v>33.096619323864772</v>
      </c>
      <c r="D201" s="27">
        <v>34.0436174469788</v>
      </c>
      <c r="E201" s="27">
        <v>34.960488146443936</v>
      </c>
      <c r="F201" s="27">
        <v>35.827165433086613</v>
      </c>
      <c r="G201" s="27">
        <v>36.697339467893578</v>
      </c>
      <c r="H201" s="27">
        <v>37.433743374337439</v>
      </c>
      <c r="I201" s="27">
        <v>38.823882388238829</v>
      </c>
      <c r="J201" s="27">
        <v>39.94</v>
      </c>
      <c r="K201" s="27">
        <v>41.438287657531504</v>
      </c>
      <c r="L201" s="27">
        <v>43.132939881964582</v>
      </c>
      <c r="M201" s="27">
        <v>44.434443444344438</v>
      </c>
      <c r="N201" s="27">
        <v>45.499099819963995</v>
      </c>
      <c r="O201" s="27">
        <v>46.884688468846896</v>
      </c>
    </row>
    <row r="202" spans="1:15" x14ac:dyDescent="0.25">
      <c r="A202" s="2">
        <v>198</v>
      </c>
      <c r="B202" s="27">
        <v>31.319395818745619</v>
      </c>
      <c r="C202" s="27">
        <v>32.896579315863171</v>
      </c>
      <c r="D202" s="27">
        <v>33.853541416566635</v>
      </c>
      <c r="E202" s="27">
        <v>34.750425127538264</v>
      </c>
      <c r="F202" s="27">
        <v>35.617123424684934</v>
      </c>
      <c r="G202" s="27">
        <v>36.497299459891977</v>
      </c>
      <c r="H202" s="27">
        <v>37.20372037203721</v>
      </c>
      <c r="I202" s="27">
        <v>38.613861386138616</v>
      </c>
      <c r="J202" s="27">
        <v>39.74</v>
      </c>
      <c r="K202" s="27">
        <v>41.228245649129825</v>
      </c>
      <c r="L202" s="27">
        <v>42.92287686305891</v>
      </c>
      <c r="M202" s="27">
        <v>44.224422442244233</v>
      </c>
      <c r="N202" s="27">
        <v>45.27905581116223</v>
      </c>
      <c r="O202" s="27">
        <v>46.674667466746683</v>
      </c>
    </row>
    <row r="203" spans="1:15" x14ac:dyDescent="0.25">
      <c r="A203" s="2">
        <v>199</v>
      </c>
      <c r="B203" s="27">
        <v>31.11933580074022</v>
      </c>
      <c r="C203" s="27">
        <v>32.706541308261656</v>
      </c>
      <c r="D203" s="27">
        <v>33.683473389355747</v>
      </c>
      <c r="E203" s="27">
        <v>34.530359107732323</v>
      </c>
      <c r="F203" s="27">
        <v>35.437087417483497</v>
      </c>
      <c r="G203" s="27">
        <v>36.287257451490298</v>
      </c>
      <c r="H203" s="27">
        <v>36.983698369836986</v>
      </c>
      <c r="I203" s="27">
        <v>38.403840384038411</v>
      </c>
      <c r="J203" s="27">
        <v>39.54</v>
      </c>
      <c r="K203" s="27">
        <v>41.00820164032806</v>
      </c>
      <c r="L203" s="27">
        <v>42.722816845053515</v>
      </c>
      <c r="M203" s="27">
        <v>44.01440144014402</v>
      </c>
      <c r="N203" s="27">
        <v>45.049009801960388</v>
      </c>
      <c r="O203" s="27">
        <v>46.474647464746482</v>
      </c>
    </row>
    <row r="204" spans="1:15" x14ac:dyDescent="0.25">
      <c r="A204" s="2">
        <v>200</v>
      </c>
      <c r="B204" s="27">
        <v>30.929278783635091</v>
      </c>
      <c r="C204" s="27">
        <v>32.506501300260048</v>
      </c>
      <c r="D204" s="27">
        <v>33.493397358943582</v>
      </c>
      <c r="E204" s="27">
        <v>34.330299089726914</v>
      </c>
      <c r="F204" s="27">
        <v>35.227045409081811</v>
      </c>
      <c r="G204" s="27">
        <v>36.077215443088619</v>
      </c>
      <c r="H204" s="27">
        <v>36.783678367836792</v>
      </c>
      <c r="I204" s="27">
        <v>38.183818381838186</v>
      </c>
      <c r="J204" s="27">
        <v>39.33</v>
      </c>
      <c r="K204" s="27">
        <v>40.788157631526303</v>
      </c>
      <c r="L204" s="27">
        <v>42.512753826147843</v>
      </c>
      <c r="M204" s="27">
        <v>43.794379437943803</v>
      </c>
      <c r="N204" s="27">
        <v>44.828965793158631</v>
      </c>
      <c r="O204" s="27">
        <v>46.26462646264627</v>
      </c>
    </row>
    <row r="205" spans="1:15" x14ac:dyDescent="0.25">
      <c r="A205" s="2">
        <v>201</v>
      </c>
      <c r="B205" s="27">
        <v>30.749224767430224</v>
      </c>
      <c r="C205" s="27">
        <v>32.276455291058213</v>
      </c>
      <c r="D205" s="27">
        <v>33.273309323729492</v>
      </c>
      <c r="E205" s="27">
        <v>34.120236070821242</v>
      </c>
      <c r="F205" s="27">
        <v>35.007001400280053</v>
      </c>
      <c r="G205" s="27">
        <v>35.857171434286855</v>
      </c>
      <c r="H205" s="27">
        <v>36.583658365836584</v>
      </c>
      <c r="I205" s="27">
        <v>37.963796379637969</v>
      </c>
      <c r="J205" s="27">
        <v>39.14</v>
      </c>
      <c r="K205" s="27">
        <v>40.568113622724546</v>
      </c>
      <c r="L205" s="27">
        <v>42.292687806341903</v>
      </c>
      <c r="M205" s="27">
        <v>43.574357435743579</v>
      </c>
      <c r="N205" s="27">
        <v>44.618923784756952</v>
      </c>
      <c r="O205" s="27">
        <v>46.064606460646075</v>
      </c>
    </row>
    <row r="206" spans="1:15" x14ac:dyDescent="0.25">
      <c r="A206" s="2">
        <v>202</v>
      </c>
      <c r="B206" s="27">
        <v>30.569170751225364</v>
      </c>
      <c r="C206" s="27">
        <v>32.066413282656534</v>
      </c>
      <c r="D206" s="27">
        <v>33.05322128851541</v>
      </c>
      <c r="E206" s="27">
        <v>33.92017605281584</v>
      </c>
      <c r="F206" s="27">
        <v>34.786957391478296</v>
      </c>
      <c r="G206" s="27">
        <v>35.647129425885176</v>
      </c>
      <c r="H206" s="27">
        <v>36.363636363636367</v>
      </c>
      <c r="I206" s="27">
        <v>37.77377737773778</v>
      </c>
      <c r="J206" s="27">
        <v>38.93</v>
      </c>
      <c r="K206" s="27">
        <v>40.348069613922789</v>
      </c>
      <c r="L206" s="27">
        <v>42.082624787436231</v>
      </c>
      <c r="M206" s="27">
        <v>43.364336433643366</v>
      </c>
      <c r="N206" s="27">
        <v>44.408881776355265</v>
      </c>
      <c r="O206" s="27">
        <v>45.864586458645867</v>
      </c>
    </row>
    <row r="207" spans="1:15" x14ac:dyDescent="0.25">
      <c r="A207" s="2">
        <v>203</v>
      </c>
      <c r="B207" s="27">
        <v>30.389116735020504</v>
      </c>
      <c r="C207" s="27">
        <v>31.886377275455089</v>
      </c>
      <c r="D207" s="27">
        <v>32.85314125650261</v>
      </c>
      <c r="E207" s="27">
        <v>33.730119035710707</v>
      </c>
      <c r="F207" s="27">
        <v>34.576915383076617</v>
      </c>
      <c r="G207" s="27">
        <v>35.447089417883575</v>
      </c>
      <c r="H207" s="27">
        <v>36.153615361536154</v>
      </c>
      <c r="I207" s="27">
        <v>37.573757375737578</v>
      </c>
      <c r="J207" s="27">
        <v>38.71</v>
      </c>
      <c r="K207" s="27">
        <v>40.128025605121017</v>
      </c>
      <c r="L207" s="27">
        <v>41.872561768530559</v>
      </c>
      <c r="M207" s="27">
        <v>43.154315431543161</v>
      </c>
      <c r="N207" s="27">
        <v>44.17883576715343</v>
      </c>
      <c r="O207" s="27">
        <v>45.664566456645666</v>
      </c>
    </row>
    <row r="208" spans="1:15" x14ac:dyDescent="0.25">
      <c r="A208" s="2">
        <v>204</v>
      </c>
      <c r="B208" s="27">
        <v>30.209062718815641</v>
      </c>
      <c r="C208" s="27">
        <v>31.706341268253649</v>
      </c>
      <c r="D208" s="27">
        <v>32.653061224489804</v>
      </c>
      <c r="E208" s="27">
        <v>33.550065019505851</v>
      </c>
      <c r="F208" s="27">
        <v>34.376875375075009</v>
      </c>
      <c r="G208" s="27">
        <v>35.237047409481889</v>
      </c>
      <c r="H208" s="27">
        <v>35.943594359435949</v>
      </c>
      <c r="I208" s="27">
        <v>37.363736373637366</v>
      </c>
      <c r="J208" s="27">
        <v>38.49</v>
      </c>
      <c r="K208" s="27">
        <v>39.917983596719338</v>
      </c>
      <c r="L208" s="27">
        <v>41.67250175052515</v>
      </c>
      <c r="M208" s="27">
        <v>42.934293429342937</v>
      </c>
      <c r="N208" s="27">
        <v>43.978795759151829</v>
      </c>
      <c r="O208" s="27">
        <v>45.45454545454546</v>
      </c>
    </row>
    <row r="209" spans="1:15" x14ac:dyDescent="0.25">
      <c r="A209" s="2">
        <v>205</v>
      </c>
      <c r="B209" s="27">
        <v>30.009002700810242</v>
      </c>
      <c r="C209" s="27">
        <v>31.526305261052208</v>
      </c>
      <c r="D209" s="27">
        <v>32.462985194077639</v>
      </c>
      <c r="E209" s="27">
        <v>33.370011003300988</v>
      </c>
      <c r="F209" s="27">
        <v>34.176835367073416</v>
      </c>
      <c r="G209" s="27">
        <v>35.037007401480295</v>
      </c>
      <c r="H209" s="27">
        <v>35.733573357335736</v>
      </c>
      <c r="I209" s="27">
        <v>37.15371537153716</v>
      </c>
      <c r="J209" s="27">
        <v>38.270000000000003</v>
      </c>
      <c r="K209" s="27">
        <v>39.707941588317667</v>
      </c>
      <c r="L209" s="27">
        <v>41.462438731619486</v>
      </c>
      <c r="M209" s="27">
        <v>42.704270427042715</v>
      </c>
      <c r="N209" s="27">
        <v>43.788757751550307</v>
      </c>
      <c r="O209" s="27">
        <v>45.234523452345236</v>
      </c>
    </row>
    <row r="210" spans="1:15" x14ac:dyDescent="0.25">
      <c r="A210" s="2">
        <v>206</v>
      </c>
      <c r="B210" s="27">
        <v>29.81894568370511</v>
      </c>
      <c r="C210" s="27">
        <v>31.336267253450686</v>
      </c>
      <c r="D210" s="27">
        <v>32.282913165266116</v>
      </c>
      <c r="E210" s="27">
        <v>33.179953986195855</v>
      </c>
      <c r="F210" s="27">
        <v>33.986797359471893</v>
      </c>
      <c r="G210" s="27">
        <v>34.836967393478695</v>
      </c>
      <c r="H210" s="27">
        <v>35.52355235523553</v>
      </c>
      <c r="I210" s="27">
        <v>36.943694369436948</v>
      </c>
      <c r="J210" s="27">
        <v>38.06</v>
      </c>
      <c r="K210" s="27">
        <v>39.507901580316059</v>
      </c>
      <c r="L210" s="27">
        <v>41.252375712713814</v>
      </c>
      <c r="M210" s="27">
        <v>42.494249424942502</v>
      </c>
      <c r="N210" s="27">
        <v>43.56871374274855</v>
      </c>
      <c r="O210" s="27">
        <v>45.024502450245031</v>
      </c>
    </row>
    <row r="211" spans="1:15" x14ac:dyDescent="0.25">
      <c r="A211" s="2">
        <v>207</v>
      </c>
      <c r="B211" s="27">
        <v>29.618885665699707</v>
      </c>
      <c r="C211" s="27">
        <v>31.14622924584917</v>
      </c>
      <c r="D211" s="27">
        <v>32.08283313325331</v>
      </c>
      <c r="E211" s="27">
        <v>32.979893968190453</v>
      </c>
      <c r="F211" s="27">
        <v>33.796759351870371</v>
      </c>
      <c r="G211" s="27">
        <v>34.636927385477094</v>
      </c>
      <c r="H211" s="27">
        <v>35.313531353135318</v>
      </c>
      <c r="I211" s="27">
        <v>36.743674367436753</v>
      </c>
      <c r="J211" s="27">
        <v>37.86</v>
      </c>
      <c r="K211" s="27">
        <v>39.317863572714543</v>
      </c>
      <c r="L211" s="27">
        <v>41.042312693808142</v>
      </c>
      <c r="M211" s="27">
        <v>42.294229422942301</v>
      </c>
      <c r="N211" s="27">
        <v>43.358671734346871</v>
      </c>
      <c r="O211" s="27">
        <v>44.814481448144825</v>
      </c>
    </row>
    <row r="212" spans="1:15" x14ac:dyDescent="0.25">
      <c r="A212" s="2">
        <v>208</v>
      </c>
      <c r="B212" s="27">
        <v>29.438831649494848</v>
      </c>
      <c r="C212" s="27">
        <v>30.956191238247648</v>
      </c>
      <c r="D212" s="27">
        <v>31.892757102841141</v>
      </c>
      <c r="E212" s="27">
        <v>32.779833950185058</v>
      </c>
      <c r="F212" s="27">
        <v>33.616723344668934</v>
      </c>
      <c r="G212" s="27">
        <v>34.446889377875571</v>
      </c>
      <c r="H212" s="27">
        <v>35.103510351035112</v>
      </c>
      <c r="I212" s="27">
        <v>36.553655365536557</v>
      </c>
      <c r="J212" s="27">
        <v>37.65</v>
      </c>
      <c r="K212" s="27">
        <v>39.117823564712943</v>
      </c>
      <c r="L212" s="27">
        <v>40.832249674902471</v>
      </c>
      <c r="M212" s="27">
        <v>42.0942094209421</v>
      </c>
      <c r="N212" s="27">
        <v>43.158631726345263</v>
      </c>
      <c r="O212" s="27">
        <v>44.624462446244628</v>
      </c>
    </row>
    <row r="213" spans="1:15" x14ac:dyDescent="0.25">
      <c r="A213" s="2">
        <v>209</v>
      </c>
      <c r="B213" s="27">
        <v>29.268780634190257</v>
      </c>
      <c r="C213" s="27">
        <v>30.766153230646129</v>
      </c>
      <c r="D213" s="27">
        <v>31.692677070828335</v>
      </c>
      <c r="E213" s="27">
        <v>32.569770931279386</v>
      </c>
      <c r="F213" s="27">
        <v>33.426685337067411</v>
      </c>
      <c r="G213" s="27">
        <v>34.246849369873978</v>
      </c>
      <c r="H213" s="27">
        <v>34.923492349234927</v>
      </c>
      <c r="I213" s="27">
        <v>36.353635363536362</v>
      </c>
      <c r="J213" s="27">
        <v>37.450000000000003</v>
      </c>
      <c r="K213" s="27">
        <v>38.907781556311257</v>
      </c>
      <c r="L213" s="27">
        <v>40.622186655996799</v>
      </c>
      <c r="M213" s="27">
        <v>41.90419041904191</v>
      </c>
      <c r="N213" s="27">
        <v>42.958591718343669</v>
      </c>
      <c r="O213" s="27">
        <v>44.434443444344438</v>
      </c>
    </row>
    <row r="214" spans="1:15" x14ac:dyDescent="0.25">
      <c r="A214" s="2">
        <v>210</v>
      </c>
      <c r="B214" s="27">
        <v>29.108732619785936</v>
      </c>
      <c r="C214" s="27">
        <v>30.576115223044606</v>
      </c>
      <c r="D214" s="27">
        <v>31.532613045218092</v>
      </c>
      <c r="E214" s="27">
        <v>32.369710913273977</v>
      </c>
      <c r="F214" s="27">
        <v>33.226645329065811</v>
      </c>
      <c r="G214" s="27">
        <v>34.056811362272448</v>
      </c>
      <c r="H214" s="27">
        <v>34.75347534753476</v>
      </c>
      <c r="I214" s="27">
        <v>36.14361436143615</v>
      </c>
      <c r="J214" s="27">
        <v>37.25</v>
      </c>
      <c r="K214" s="27">
        <v>38.687737547509499</v>
      </c>
      <c r="L214" s="27">
        <v>40.42212663799139</v>
      </c>
      <c r="M214" s="27">
        <v>41.714171417141721</v>
      </c>
      <c r="N214" s="27">
        <v>42.74854970994199</v>
      </c>
      <c r="O214" s="27">
        <v>44.224422442244233</v>
      </c>
    </row>
    <row r="215" spans="1:15" x14ac:dyDescent="0.25">
      <c r="A215" s="2">
        <v>211</v>
      </c>
      <c r="B215" s="27">
        <v>28.948684605381615</v>
      </c>
      <c r="C215" s="27">
        <v>30.376075215043009</v>
      </c>
      <c r="D215" s="27">
        <v>31.352541016406569</v>
      </c>
      <c r="E215" s="27">
        <v>32.169650895268575</v>
      </c>
      <c r="F215" s="27">
        <v>33.036607321464295</v>
      </c>
      <c r="G215" s="27">
        <v>33.866773354670933</v>
      </c>
      <c r="H215" s="27">
        <v>34.56345634563457</v>
      </c>
      <c r="I215" s="27">
        <v>35.943594359435949</v>
      </c>
      <c r="J215" s="27">
        <v>37.049999999999997</v>
      </c>
      <c r="K215" s="27">
        <v>38.487697539507899</v>
      </c>
      <c r="L215" s="27">
        <v>40.212063619085725</v>
      </c>
      <c r="M215" s="27">
        <v>41.514151415141519</v>
      </c>
      <c r="N215" s="27">
        <v>42.528505701140226</v>
      </c>
      <c r="O215" s="27">
        <v>44.01440144014402</v>
      </c>
    </row>
    <row r="216" spans="1:15" x14ac:dyDescent="0.25">
      <c r="A216" s="2">
        <v>212</v>
      </c>
      <c r="B216" s="27">
        <v>28.778633590077021</v>
      </c>
      <c r="C216" s="27">
        <v>30.186037207441487</v>
      </c>
      <c r="D216" s="27">
        <v>31.172468987595042</v>
      </c>
      <c r="E216" s="27">
        <v>31.979593878163445</v>
      </c>
      <c r="F216" s="27">
        <v>32.856571314262851</v>
      </c>
      <c r="G216" s="27">
        <v>33.676735347069418</v>
      </c>
      <c r="H216" s="27">
        <v>34.353435343534358</v>
      </c>
      <c r="I216" s="27">
        <v>35.753575357535759</v>
      </c>
      <c r="J216" s="27">
        <v>36.85</v>
      </c>
      <c r="K216" s="27">
        <v>38.287657531506298</v>
      </c>
      <c r="L216" s="27">
        <v>40.012003601080323</v>
      </c>
      <c r="M216" s="27">
        <v>41.32413241324133</v>
      </c>
      <c r="N216" s="27">
        <v>42.338467693538703</v>
      </c>
      <c r="O216" s="27">
        <v>43.824382438243831</v>
      </c>
    </row>
    <row r="217" spans="1:15" x14ac:dyDescent="0.25">
      <c r="A217" s="2">
        <v>213</v>
      </c>
      <c r="B217" s="27">
        <v>28.608582574772431</v>
      </c>
      <c r="C217" s="27">
        <v>30.026005201040206</v>
      </c>
      <c r="D217" s="27">
        <v>31.002400960384158</v>
      </c>
      <c r="E217" s="27">
        <v>31.789536861058316</v>
      </c>
      <c r="F217" s="27">
        <v>32.676535307061414</v>
      </c>
      <c r="G217" s="27">
        <v>33.486697339467888</v>
      </c>
      <c r="H217" s="27">
        <v>34.153415341534156</v>
      </c>
      <c r="I217" s="27">
        <v>35.553555355535558</v>
      </c>
      <c r="J217" s="27">
        <v>36.65</v>
      </c>
      <c r="K217" s="27">
        <v>38.087617523504697</v>
      </c>
      <c r="L217" s="27">
        <v>39.82194658397519</v>
      </c>
      <c r="M217" s="27">
        <v>41.114111411141117</v>
      </c>
      <c r="N217" s="27">
        <v>42.158431686337266</v>
      </c>
      <c r="O217" s="27">
        <v>43.624362436243629</v>
      </c>
    </row>
    <row r="218" spans="1:15" x14ac:dyDescent="0.25">
      <c r="A218" s="2">
        <v>214</v>
      </c>
      <c r="B218" s="27">
        <v>28.428528558567571</v>
      </c>
      <c r="C218" s="27">
        <v>29.885977195439086</v>
      </c>
      <c r="D218" s="27">
        <v>30.802320928371351</v>
      </c>
      <c r="E218" s="27">
        <v>31.619485845753722</v>
      </c>
      <c r="F218" s="27">
        <v>32.486497299459884</v>
      </c>
      <c r="G218" s="27">
        <v>33.286657331466294</v>
      </c>
      <c r="H218" s="27">
        <v>33.973397339733978</v>
      </c>
      <c r="I218" s="27">
        <v>35.343534353435352</v>
      </c>
      <c r="J218" s="27">
        <v>36.46</v>
      </c>
      <c r="K218" s="27">
        <v>37.877575515103018</v>
      </c>
      <c r="L218" s="27">
        <v>39.631889566870058</v>
      </c>
      <c r="M218" s="27">
        <v>40.914091409140916</v>
      </c>
      <c r="N218" s="27">
        <v>41.958391678335666</v>
      </c>
      <c r="O218" s="27">
        <v>43.414341434143417</v>
      </c>
    </row>
    <row r="219" spans="1:15" x14ac:dyDescent="0.25">
      <c r="A219" s="2">
        <v>215</v>
      </c>
      <c r="B219" s="27">
        <v>28.238471541462438</v>
      </c>
      <c r="C219" s="27">
        <v>29.705941188237645</v>
      </c>
      <c r="D219" s="27">
        <v>30.602240896358548</v>
      </c>
      <c r="E219" s="27">
        <v>31.429428828648593</v>
      </c>
      <c r="F219" s="27">
        <v>32.296459291858369</v>
      </c>
      <c r="G219" s="27">
        <v>33.086617323464687</v>
      </c>
      <c r="H219" s="27">
        <v>33.7933793379338</v>
      </c>
      <c r="I219" s="27">
        <v>35.133513351335139</v>
      </c>
      <c r="J219" s="27">
        <v>36.26</v>
      </c>
      <c r="K219" s="27">
        <v>37.677535507101418</v>
      </c>
      <c r="L219" s="27">
        <v>39.431829548864656</v>
      </c>
      <c r="M219" s="27">
        <v>40.724072407240726</v>
      </c>
      <c r="N219" s="27">
        <v>41.748349669933987</v>
      </c>
      <c r="O219" s="27">
        <v>43.204320432043211</v>
      </c>
    </row>
    <row r="220" spans="1:15" x14ac:dyDescent="0.25">
      <c r="A220" s="2">
        <v>216</v>
      </c>
      <c r="B220" s="27">
        <v>28.058417525257575</v>
      </c>
      <c r="C220" s="27">
        <v>29.525905181036205</v>
      </c>
      <c r="D220" s="27">
        <v>30.442176870748305</v>
      </c>
      <c r="E220" s="27">
        <v>31.219365809742921</v>
      </c>
      <c r="F220" s="27">
        <v>32.106421284256854</v>
      </c>
      <c r="G220" s="27">
        <v>32.886577315463093</v>
      </c>
      <c r="H220" s="27">
        <v>33.593359335933599</v>
      </c>
      <c r="I220" s="27">
        <v>34.933493349334938</v>
      </c>
      <c r="J220" s="27">
        <v>36.06</v>
      </c>
      <c r="K220" s="27">
        <v>37.487497499499895</v>
      </c>
      <c r="L220" s="27">
        <v>39.221766529958984</v>
      </c>
      <c r="M220" s="27">
        <v>40.524052405240532</v>
      </c>
      <c r="N220" s="27">
        <v>41.548309661932386</v>
      </c>
      <c r="O220" s="27">
        <v>43.00430043004301</v>
      </c>
    </row>
    <row r="221" spans="1:15" x14ac:dyDescent="0.25">
      <c r="A221" s="2">
        <v>217</v>
      </c>
      <c r="B221" s="27">
        <v>27.888366509952984</v>
      </c>
      <c r="C221" s="27">
        <v>29.355871174234846</v>
      </c>
      <c r="D221" s="27">
        <v>30.272108843537421</v>
      </c>
      <c r="E221" s="27">
        <v>31.029308792637789</v>
      </c>
      <c r="F221" s="27">
        <v>31.916383276655331</v>
      </c>
      <c r="G221" s="27">
        <v>32.686537307461492</v>
      </c>
      <c r="H221" s="27">
        <v>33.383338333833393</v>
      </c>
      <c r="I221" s="27">
        <v>34.733473347334737</v>
      </c>
      <c r="J221" s="27">
        <v>35.85</v>
      </c>
      <c r="K221" s="27">
        <v>37.277455491098223</v>
      </c>
      <c r="L221" s="27">
        <v>39.031709512853858</v>
      </c>
      <c r="M221" s="27">
        <v>40.314031403140319</v>
      </c>
      <c r="N221" s="27">
        <v>41.328265653130622</v>
      </c>
      <c r="O221" s="27">
        <v>42.81428142814282</v>
      </c>
    </row>
    <row r="222" spans="1:15" x14ac:dyDescent="0.25">
      <c r="A222" s="2">
        <v>218</v>
      </c>
      <c r="B222" s="27">
        <v>27.718315494648394</v>
      </c>
      <c r="C222" s="27">
        <v>29.185837167433487</v>
      </c>
      <c r="D222" s="27">
        <v>30.092036814725894</v>
      </c>
      <c r="E222" s="27">
        <v>30.869260778233468</v>
      </c>
      <c r="F222" s="27">
        <v>31.726345269053809</v>
      </c>
      <c r="G222" s="27">
        <v>32.49649929985997</v>
      </c>
      <c r="H222" s="27">
        <v>33.193319331933196</v>
      </c>
      <c r="I222" s="27">
        <v>34.553455345534559</v>
      </c>
      <c r="J222" s="27">
        <v>35.65</v>
      </c>
      <c r="K222" s="27">
        <v>37.077415483096615</v>
      </c>
      <c r="L222" s="27">
        <v>38.841652495748718</v>
      </c>
      <c r="M222" s="27">
        <v>40.094009400940102</v>
      </c>
      <c r="N222" s="27">
        <v>41.138227645529106</v>
      </c>
      <c r="O222" s="27">
        <v>42.634263426342642</v>
      </c>
    </row>
    <row r="223" spans="1:15" x14ac:dyDescent="0.25">
      <c r="A223" s="2">
        <v>219</v>
      </c>
      <c r="B223" s="27">
        <v>27.5482644793438</v>
      </c>
      <c r="C223" s="27">
        <v>29.005801160232046</v>
      </c>
      <c r="D223" s="27">
        <v>29.911964785914368</v>
      </c>
      <c r="E223" s="27">
        <v>30.679203761128338</v>
      </c>
      <c r="F223" s="27">
        <v>31.526305261052208</v>
      </c>
      <c r="G223" s="27">
        <v>32.306461292258447</v>
      </c>
      <c r="H223" s="27">
        <v>33.013301330133018</v>
      </c>
      <c r="I223" s="27">
        <v>34.373437343734373</v>
      </c>
      <c r="J223" s="27">
        <v>35.450000000000003</v>
      </c>
      <c r="K223" s="27">
        <v>36.897379475895178</v>
      </c>
      <c r="L223" s="27">
        <v>38.631589476843047</v>
      </c>
      <c r="M223" s="27">
        <v>39.893989398939901</v>
      </c>
      <c r="N223" s="27">
        <v>40.948189637927584</v>
      </c>
      <c r="O223" s="27">
        <v>42.444244424442445</v>
      </c>
    </row>
    <row r="224" spans="1:15" x14ac:dyDescent="0.25">
      <c r="A224" s="2">
        <v>220</v>
      </c>
      <c r="B224" s="27">
        <v>27.388216464939479</v>
      </c>
      <c r="C224" s="27">
        <v>28.815763152630524</v>
      </c>
      <c r="D224" s="27">
        <v>29.731892757102845</v>
      </c>
      <c r="E224" s="27">
        <v>30.499149744923475</v>
      </c>
      <c r="F224" s="27">
        <v>31.336267253450686</v>
      </c>
      <c r="G224" s="27">
        <v>32.12642528505701</v>
      </c>
      <c r="H224" s="27">
        <v>32.813281328132817</v>
      </c>
      <c r="I224" s="27">
        <v>34.193419341934195</v>
      </c>
      <c r="J224" s="27">
        <v>35.270000000000003</v>
      </c>
      <c r="K224" s="27">
        <v>36.707341468293663</v>
      </c>
      <c r="L224" s="27">
        <v>38.421526457937375</v>
      </c>
      <c r="M224" s="27">
        <v>39.703970397039711</v>
      </c>
      <c r="N224" s="27">
        <v>40.76815363072614</v>
      </c>
      <c r="O224" s="27">
        <v>42.244224422442251</v>
      </c>
    </row>
    <row r="225" spans="1:15" x14ac:dyDescent="0.25">
      <c r="A225" s="2">
        <v>221</v>
      </c>
      <c r="B225" s="27">
        <v>27.218165449634888</v>
      </c>
      <c r="C225" s="27">
        <v>28.625725145029005</v>
      </c>
      <c r="D225" s="27">
        <v>29.561824729891963</v>
      </c>
      <c r="E225" s="27">
        <v>30.33910173051915</v>
      </c>
      <c r="F225" s="27">
        <v>31.156231246249249</v>
      </c>
      <c r="G225" s="27">
        <v>31.94638927785557</v>
      </c>
      <c r="H225" s="27">
        <v>32.623262326232627</v>
      </c>
      <c r="I225" s="27">
        <v>33.993399339934001</v>
      </c>
      <c r="J225" s="27">
        <v>35.08</v>
      </c>
      <c r="K225" s="27">
        <v>36.507301460292055</v>
      </c>
      <c r="L225" s="27">
        <v>38.22146643993198</v>
      </c>
      <c r="M225" s="27">
        <v>39.50395039503951</v>
      </c>
      <c r="N225" s="27">
        <v>40.568113622724546</v>
      </c>
      <c r="O225" s="27">
        <v>42.024202420242034</v>
      </c>
    </row>
    <row r="226" spans="1:15" x14ac:dyDescent="0.25">
      <c r="A226" s="2">
        <v>222</v>
      </c>
      <c r="B226" s="27">
        <v>27.048114434330298</v>
      </c>
      <c r="C226" s="27">
        <v>28.435687137427482</v>
      </c>
      <c r="D226" s="27">
        <v>29.381752701080437</v>
      </c>
      <c r="E226" s="27">
        <v>30.189056717015102</v>
      </c>
      <c r="F226" s="27">
        <v>30.976195239047808</v>
      </c>
      <c r="G226" s="27">
        <v>31.766353270654133</v>
      </c>
      <c r="H226" s="27">
        <v>32.45324532453246</v>
      </c>
      <c r="I226" s="27">
        <v>33.803380338033804</v>
      </c>
      <c r="J226" s="27">
        <v>34.880000000000003</v>
      </c>
      <c r="K226" s="27">
        <v>36.297259451890376</v>
      </c>
      <c r="L226" s="27">
        <v>38.041412423727117</v>
      </c>
      <c r="M226" s="27">
        <v>39.293929392939297</v>
      </c>
      <c r="N226" s="27">
        <v>40.368073614722945</v>
      </c>
      <c r="O226" s="27">
        <v>41.824182418241833</v>
      </c>
    </row>
    <row r="227" spans="1:15" x14ac:dyDescent="0.25">
      <c r="A227" s="2">
        <v>223</v>
      </c>
      <c r="B227" s="27">
        <v>26.878063419025708</v>
      </c>
      <c r="C227" s="27">
        <v>28.275655131026202</v>
      </c>
      <c r="D227" s="27">
        <v>29.201680672268914</v>
      </c>
      <c r="E227" s="27">
        <v>29.99899969990997</v>
      </c>
      <c r="F227" s="27">
        <v>30.776155231046207</v>
      </c>
      <c r="G227" s="27">
        <v>31.57631526305261</v>
      </c>
      <c r="H227" s="27">
        <v>32.273227322732282</v>
      </c>
      <c r="I227" s="27">
        <v>33.613361336133615</v>
      </c>
      <c r="J227" s="27">
        <v>34.69</v>
      </c>
      <c r="K227" s="27">
        <v>36.107221444288861</v>
      </c>
      <c r="L227" s="27">
        <v>37.861358407522253</v>
      </c>
      <c r="M227" s="27">
        <v>39.093909390939103</v>
      </c>
      <c r="N227" s="27">
        <v>40.158031606321259</v>
      </c>
      <c r="O227" s="27">
        <v>41.624162416241624</v>
      </c>
    </row>
    <row r="228" spans="1:15" x14ac:dyDescent="0.25">
      <c r="A228" s="2">
        <v>224</v>
      </c>
      <c r="B228" s="27">
        <v>26.708012403721114</v>
      </c>
      <c r="C228" s="27">
        <v>28.115623124624925</v>
      </c>
      <c r="D228" s="27">
        <v>29.021608643457387</v>
      </c>
      <c r="E228" s="27">
        <v>29.788936681004301</v>
      </c>
      <c r="F228" s="27">
        <v>30.606121224244848</v>
      </c>
      <c r="G228" s="27">
        <v>31.386277255451088</v>
      </c>
      <c r="H228" s="27">
        <v>32.083208320832085</v>
      </c>
      <c r="I228" s="27">
        <v>33.413341334133413</v>
      </c>
      <c r="J228" s="27">
        <v>34.5</v>
      </c>
      <c r="K228" s="27">
        <v>35.917183436687331</v>
      </c>
      <c r="L228" s="27">
        <v>37.661298389516851</v>
      </c>
      <c r="M228" s="27">
        <v>38.913891389138918</v>
      </c>
      <c r="N228" s="27">
        <v>39.977995599119822</v>
      </c>
      <c r="O228" s="27">
        <v>41.444144414441446</v>
      </c>
    </row>
    <row r="229" spans="1:15" x14ac:dyDescent="0.25">
      <c r="A229" s="2">
        <v>225</v>
      </c>
      <c r="B229" s="27">
        <v>26.537961388416523</v>
      </c>
      <c r="C229" s="27">
        <v>27.965593118623726</v>
      </c>
      <c r="D229" s="27">
        <v>28.841536614645861</v>
      </c>
      <c r="E229" s="27">
        <v>29.618885665699707</v>
      </c>
      <c r="F229" s="27">
        <v>30.446089217843568</v>
      </c>
      <c r="G229" s="27">
        <v>31.216243248649729</v>
      </c>
      <c r="H229" s="27">
        <v>31.903190319031907</v>
      </c>
      <c r="I229" s="27">
        <v>33.213321332133219</v>
      </c>
      <c r="J229" s="27">
        <v>34.31</v>
      </c>
      <c r="K229" s="27">
        <v>35.737147429485894</v>
      </c>
      <c r="L229" s="27">
        <v>37.471241372411725</v>
      </c>
      <c r="M229" s="27">
        <v>38.723872387238728</v>
      </c>
      <c r="N229" s="27">
        <v>39.777955591118229</v>
      </c>
      <c r="O229" s="27">
        <v>41.254125412541256</v>
      </c>
    </row>
    <row r="230" spans="1:15" x14ac:dyDescent="0.25">
      <c r="A230" s="2">
        <v>226</v>
      </c>
      <c r="B230" s="27">
        <v>26.367910373111933</v>
      </c>
      <c r="C230" s="27">
        <v>27.785557111422285</v>
      </c>
      <c r="D230" s="27">
        <v>28.661464585834338</v>
      </c>
      <c r="E230" s="27">
        <v>29.458837651295386</v>
      </c>
      <c r="F230" s="27">
        <v>30.276055211042205</v>
      </c>
      <c r="G230" s="27">
        <v>31.036207241448288</v>
      </c>
      <c r="H230" s="27">
        <v>31.713171317131717</v>
      </c>
      <c r="I230" s="27">
        <v>33.02330233023303</v>
      </c>
      <c r="J230" s="27">
        <v>34.119999999999997</v>
      </c>
      <c r="K230" s="27">
        <v>35.547109421884372</v>
      </c>
      <c r="L230" s="27">
        <v>37.281184355306593</v>
      </c>
      <c r="M230" s="27">
        <v>38.533853385338539</v>
      </c>
      <c r="N230" s="27">
        <v>39.577915583116621</v>
      </c>
      <c r="O230" s="27">
        <v>41.064106410641074</v>
      </c>
    </row>
    <row r="231" spans="1:15" x14ac:dyDescent="0.25">
      <c r="A231" s="2">
        <v>227</v>
      </c>
      <c r="B231" s="27">
        <v>26.217865359607881</v>
      </c>
      <c r="C231" s="27">
        <v>27.605521104220845</v>
      </c>
      <c r="D231" s="27">
        <v>28.501400560224091</v>
      </c>
      <c r="E231" s="27">
        <v>29.278783635090523</v>
      </c>
      <c r="F231" s="27">
        <v>30.086017203440687</v>
      </c>
      <c r="G231" s="27">
        <v>30.866173234646926</v>
      </c>
      <c r="H231" s="27">
        <v>31.523152315231528</v>
      </c>
      <c r="I231" s="27">
        <v>32.853285328532863</v>
      </c>
      <c r="J231" s="27">
        <v>33.93</v>
      </c>
      <c r="K231" s="27">
        <v>35.357071414282856</v>
      </c>
      <c r="L231" s="27">
        <v>37.101130339101729</v>
      </c>
      <c r="M231" s="27">
        <v>38.343834383438356</v>
      </c>
      <c r="N231" s="27">
        <v>39.37787557511502</v>
      </c>
      <c r="O231" s="27">
        <v>40.874087408740877</v>
      </c>
    </row>
    <row r="232" spans="1:15" x14ac:dyDescent="0.25">
      <c r="A232" s="2">
        <v>228</v>
      </c>
      <c r="B232" s="27">
        <v>26.05781734520356</v>
      </c>
      <c r="C232" s="27">
        <v>27.435487097419482</v>
      </c>
      <c r="D232" s="27">
        <v>28.33133253301321</v>
      </c>
      <c r="E232" s="27">
        <v>29.098729618885663</v>
      </c>
      <c r="F232" s="27">
        <v>29.895979195839168</v>
      </c>
      <c r="G232" s="27">
        <v>30.686137227445489</v>
      </c>
      <c r="H232" s="27">
        <v>31.353135313531357</v>
      </c>
      <c r="I232" s="27">
        <v>32.683268326832689</v>
      </c>
      <c r="J232" s="27">
        <v>33.74</v>
      </c>
      <c r="K232" s="27">
        <v>35.167033406681334</v>
      </c>
      <c r="L232" s="27">
        <v>36.911073321996597</v>
      </c>
      <c r="M232" s="27">
        <v>38.163816381638163</v>
      </c>
      <c r="N232" s="27">
        <v>39.187837567513498</v>
      </c>
      <c r="O232" s="27">
        <v>40.664066406640664</v>
      </c>
    </row>
    <row r="233" spans="1:15" x14ac:dyDescent="0.25">
      <c r="A233" s="2">
        <v>229</v>
      </c>
      <c r="B233" s="27">
        <v>25.907772331699508</v>
      </c>
      <c r="C233" s="27">
        <v>27.275455091018202</v>
      </c>
      <c r="D233" s="27">
        <v>28.161264505802325</v>
      </c>
      <c r="E233" s="27">
        <v>28.928678603581073</v>
      </c>
      <c r="F233" s="27">
        <v>29.725945189037805</v>
      </c>
      <c r="G233" s="27">
        <v>30.496099219843966</v>
      </c>
      <c r="H233" s="27">
        <v>31.173117311731179</v>
      </c>
      <c r="I233" s="27">
        <v>32.493249324932499</v>
      </c>
      <c r="J233" s="27">
        <v>33.54</v>
      </c>
      <c r="K233" s="27">
        <v>34.976995399079811</v>
      </c>
      <c r="L233" s="27">
        <v>36.721016304891464</v>
      </c>
      <c r="M233" s="27">
        <v>37.973797379737981</v>
      </c>
      <c r="N233" s="27">
        <v>39.017803560712139</v>
      </c>
      <c r="O233" s="27">
        <v>40.474047404740482</v>
      </c>
    </row>
    <row r="234" spans="1:15" x14ac:dyDescent="0.25">
      <c r="A234" s="2">
        <v>230</v>
      </c>
      <c r="B234" s="27">
        <v>25.747724317295184</v>
      </c>
      <c r="C234" s="27">
        <v>27.115423084616921</v>
      </c>
      <c r="D234" s="27">
        <v>28.001200480192079</v>
      </c>
      <c r="E234" s="27">
        <v>28.768630589176752</v>
      </c>
      <c r="F234" s="27">
        <v>29.545909181836365</v>
      </c>
      <c r="G234" s="27">
        <v>30.316063212642526</v>
      </c>
      <c r="H234" s="27">
        <v>31.003100310031009</v>
      </c>
      <c r="I234" s="27">
        <v>32.313231323132321</v>
      </c>
      <c r="J234" s="27">
        <v>33.35</v>
      </c>
      <c r="K234" s="27">
        <v>34.786957391478296</v>
      </c>
      <c r="L234" s="27">
        <v>36.530959287786338</v>
      </c>
      <c r="M234" s="27">
        <v>37.783778377837791</v>
      </c>
      <c r="N234" s="27">
        <v>38.827765553110623</v>
      </c>
      <c r="O234" s="27">
        <v>40.304030403040308</v>
      </c>
    </row>
    <row r="235" spans="1:15" x14ac:dyDescent="0.25">
      <c r="A235" s="2">
        <v>231</v>
      </c>
      <c r="B235" s="27">
        <v>25.597679303791136</v>
      </c>
      <c r="C235" s="27">
        <v>26.935387077415481</v>
      </c>
      <c r="D235" s="27">
        <v>27.831132452981198</v>
      </c>
      <c r="E235" s="27">
        <v>28.598579573872161</v>
      </c>
      <c r="F235" s="27">
        <v>29.375875175035006</v>
      </c>
      <c r="G235" s="27">
        <v>30.136027205441085</v>
      </c>
      <c r="H235" s="27">
        <v>30.833083308330835</v>
      </c>
      <c r="I235" s="27">
        <v>32.143214321432147</v>
      </c>
      <c r="J235" s="27">
        <v>33.17</v>
      </c>
      <c r="K235" s="27">
        <v>34.596919383876781</v>
      </c>
      <c r="L235" s="27">
        <v>36.340902270681198</v>
      </c>
      <c r="M235" s="27">
        <v>37.603760376037613</v>
      </c>
      <c r="N235" s="27">
        <v>38.647729545909179</v>
      </c>
      <c r="O235" s="27">
        <v>40.134013401340141</v>
      </c>
    </row>
    <row r="236" spans="1:15" x14ac:dyDescent="0.25">
      <c r="A236" s="2">
        <v>232</v>
      </c>
      <c r="B236" s="27">
        <v>25.437631289386815</v>
      </c>
      <c r="C236" s="27">
        <v>26.75535107021404</v>
      </c>
      <c r="D236" s="27">
        <v>27.671068427370955</v>
      </c>
      <c r="E236" s="27">
        <v>28.428528558567571</v>
      </c>
      <c r="F236" s="27">
        <v>29.205841168233643</v>
      </c>
      <c r="G236" s="27">
        <v>29.965993198639726</v>
      </c>
      <c r="H236" s="27">
        <v>30.653065306530657</v>
      </c>
      <c r="I236" s="27">
        <v>31.973197319731977</v>
      </c>
      <c r="J236" s="27">
        <v>33.01</v>
      </c>
      <c r="K236" s="27">
        <v>34.396879375875173</v>
      </c>
      <c r="L236" s="27">
        <v>36.150845253576072</v>
      </c>
      <c r="M236" s="27">
        <v>37.423742374237428</v>
      </c>
      <c r="N236" s="27">
        <v>38.457691538307664</v>
      </c>
      <c r="O236" s="27">
        <v>39.963996399639967</v>
      </c>
    </row>
    <row r="237" spans="1:15" x14ac:dyDescent="0.25">
      <c r="A237" s="2">
        <v>233</v>
      </c>
      <c r="B237" s="27">
        <v>25.287586275882763</v>
      </c>
      <c r="C237" s="27">
        <v>26.585317063412681</v>
      </c>
      <c r="D237" s="27">
        <v>27.501000400160066</v>
      </c>
      <c r="E237" s="27">
        <v>28.248474542362704</v>
      </c>
      <c r="F237" s="27">
        <v>29.025805161032206</v>
      </c>
      <c r="G237" s="27">
        <v>29.795959191838367</v>
      </c>
      <c r="H237" s="27">
        <v>30.483048304830486</v>
      </c>
      <c r="I237" s="27">
        <v>31.783178317831787</v>
      </c>
      <c r="J237" s="27">
        <v>32.85</v>
      </c>
      <c r="K237" s="27">
        <v>34.206841368273658</v>
      </c>
      <c r="L237" s="27">
        <v>35.970791237371209</v>
      </c>
      <c r="M237" s="27">
        <v>37.243724372437249</v>
      </c>
      <c r="N237" s="27">
        <v>38.267653530706134</v>
      </c>
      <c r="O237" s="27">
        <v>39.773977397739785</v>
      </c>
    </row>
    <row r="238" spans="1:15" x14ac:dyDescent="0.25">
      <c r="A238" s="2">
        <v>234</v>
      </c>
      <c r="B238" s="27">
        <v>25.137541262378711</v>
      </c>
      <c r="C238" s="27">
        <v>26.435287057411482</v>
      </c>
      <c r="D238" s="27">
        <v>27.340936374549823</v>
      </c>
      <c r="E238" s="27">
        <v>28.068420526157844</v>
      </c>
      <c r="F238" s="27">
        <v>28.845769153830766</v>
      </c>
      <c r="G238" s="27">
        <v>29.625925185037008</v>
      </c>
      <c r="H238" s="27">
        <v>30.293029302930297</v>
      </c>
      <c r="I238" s="27">
        <v>31.603160316031609</v>
      </c>
      <c r="J238" s="27">
        <v>32.68</v>
      </c>
      <c r="K238" s="27">
        <v>34.04680936187237</v>
      </c>
      <c r="L238" s="27">
        <v>35.780734220266083</v>
      </c>
      <c r="M238" s="27">
        <v>37.053705370537052</v>
      </c>
      <c r="N238" s="27">
        <v>38.077615523104619</v>
      </c>
      <c r="O238" s="27">
        <v>39.583958395839588</v>
      </c>
    </row>
    <row r="239" spans="1:15" x14ac:dyDescent="0.25">
      <c r="A239" s="2">
        <v>235</v>
      </c>
      <c r="B239" s="27">
        <v>24.997499249774929</v>
      </c>
      <c r="C239" s="27">
        <v>26.295259051810358</v>
      </c>
      <c r="D239" s="27">
        <v>27.170868347338939</v>
      </c>
      <c r="E239" s="27">
        <v>27.908372511753523</v>
      </c>
      <c r="F239" s="27">
        <v>28.675735147029407</v>
      </c>
      <c r="G239" s="27">
        <v>29.455891178235646</v>
      </c>
      <c r="H239" s="27">
        <v>30.113011301130118</v>
      </c>
      <c r="I239" s="27">
        <v>31.44314431443145</v>
      </c>
      <c r="J239" s="27">
        <v>32.49</v>
      </c>
      <c r="K239" s="27">
        <v>33.886777355471096</v>
      </c>
      <c r="L239" s="27">
        <v>35.580674202260674</v>
      </c>
      <c r="M239" s="27">
        <v>36.873687368736874</v>
      </c>
      <c r="N239" s="27">
        <v>37.897579515903182</v>
      </c>
      <c r="O239" s="27">
        <v>39.40394039403941</v>
      </c>
    </row>
    <row r="240" spans="1:15" x14ac:dyDescent="0.25">
      <c r="A240" s="2">
        <v>236</v>
      </c>
      <c r="B240" s="27">
        <v>24.837451235370608</v>
      </c>
      <c r="C240" s="27">
        <v>26.14522904580916</v>
      </c>
      <c r="D240" s="27">
        <v>27.020808323329337</v>
      </c>
      <c r="E240" s="27">
        <v>27.758327498249471</v>
      </c>
      <c r="F240" s="27">
        <v>28.525705141028205</v>
      </c>
      <c r="G240" s="27">
        <v>29.275855171034205</v>
      </c>
      <c r="H240" s="27">
        <v>29.942994299429948</v>
      </c>
      <c r="I240" s="27">
        <v>31.283128312831288</v>
      </c>
      <c r="J240" s="27">
        <v>32.299999999999997</v>
      </c>
      <c r="K240" s="27">
        <v>33.726745349069809</v>
      </c>
      <c r="L240" s="27">
        <v>35.400620186055818</v>
      </c>
      <c r="M240" s="27">
        <v>36.693669366936696</v>
      </c>
      <c r="N240" s="27">
        <v>37.717543508701738</v>
      </c>
      <c r="O240" s="27">
        <v>39.233923392339236</v>
      </c>
    </row>
    <row r="241" spans="1:15" x14ac:dyDescent="0.25">
      <c r="A241" s="2">
        <v>237</v>
      </c>
      <c r="B241" s="27">
        <v>24.687406221866556</v>
      </c>
      <c r="C241" s="27">
        <v>25.985197039407883</v>
      </c>
      <c r="D241" s="27">
        <v>26.860744297719094</v>
      </c>
      <c r="E241" s="27">
        <v>27.608282484745423</v>
      </c>
      <c r="F241" s="27">
        <v>28.355671134226846</v>
      </c>
      <c r="G241" s="27">
        <v>29.105821164232847</v>
      </c>
      <c r="H241" s="27">
        <v>29.782978297829789</v>
      </c>
      <c r="I241" s="27">
        <v>31.113111311131117</v>
      </c>
      <c r="J241" s="27">
        <v>32.119999999999997</v>
      </c>
      <c r="K241" s="27">
        <v>33.536707341468293</v>
      </c>
      <c r="L241" s="27">
        <v>35.250575172551763</v>
      </c>
      <c r="M241" s="27">
        <v>36.513651365136518</v>
      </c>
      <c r="N241" s="27">
        <v>37.547509501900379</v>
      </c>
      <c r="O241" s="27">
        <v>39.053905390539057</v>
      </c>
    </row>
    <row r="242" spans="1:15" x14ac:dyDescent="0.25">
      <c r="A242" s="2">
        <v>238</v>
      </c>
      <c r="B242" s="27">
        <v>24.51735520656197</v>
      </c>
      <c r="C242" s="27">
        <v>25.835167033406677</v>
      </c>
      <c r="D242" s="27">
        <v>26.710684273709486</v>
      </c>
      <c r="E242" s="27">
        <v>27.448234470341102</v>
      </c>
      <c r="F242" s="27">
        <v>28.185637127425483</v>
      </c>
      <c r="G242" s="27">
        <v>28.945789157831566</v>
      </c>
      <c r="H242" s="27">
        <v>29.622962296229627</v>
      </c>
      <c r="I242" s="27">
        <v>30.943094309430947</v>
      </c>
      <c r="J242" s="27">
        <v>31.95</v>
      </c>
      <c r="K242" s="27">
        <v>33.346669333866778</v>
      </c>
      <c r="L242" s="27">
        <v>35.080524157247169</v>
      </c>
      <c r="M242" s="27">
        <v>36.323632363236328</v>
      </c>
      <c r="N242" s="27">
        <v>37.357471494298856</v>
      </c>
      <c r="O242" s="27">
        <v>38.853885388538863</v>
      </c>
    </row>
    <row r="243" spans="1:15" x14ac:dyDescent="0.25">
      <c r="A243" s="2">
        <v>239</v>
      </c>
      <c r="B243" s="27">
        <v>24.357307192157649</v>
      </c>
      <c r="C243" s="27">
        <v>25.685137027405478</v>
      </c>
      <c r="D243" s="27">
        <v>26.550620248099243</v>
      </c>
      <c r="E243" s="27">
        <v>27.268180454136239</v>
      </c>
      <c r="F243" s="27">
        <v>28.025605121024203</v>
      </c>
      <c r="G243" s="27">
        <v>28.785757151430285</v>
      </c>
      <c r="H243" s="27">
        <v>29.462946294629468</v>
      </c>
      <c r="I243" s="27">
        <v>30.763076307630769</v>
      </c>
      <c r="J243" s="27">
        <v>31.79</v>
      </c>
      <c r="K243" s="27">
        <v>33.176635327065412</v>
      </c>
      <c r="L243" s="27">
        <v>34.900470141042312</v>
      </c>
      <c r="M243" s="27">
        <v>36.133613361336138</v>
      </c>
      <c r="N243" s="27">
        <v>37.167433486697334</v>
      </c>
      <c r="O243" s="27">
        <v>38.663866386638666</v>
      </c>
    </row>
    <row r="244" spans="1:15" x14ac:dyDescent="0.25">
      <c r="A244" s="2">
        <v>240</v>
      </c>
      <c r="B244" s="27">
        <v>24.187256176853055</v>
      </c>
      <c r="C244" s="27">
        <v>25.555111022204439</v>
      </c>
      <c r="D244" s="27">
        <v>26.390556222489</v>
      </c>
      <c r="E244" s="27">
        <v>27.108132439731918</v>
      </c>
      <c r="F244" s="27">
        <v>27.875575115023004</v>
      </c>
      <c r="G244" s="27">
        <v>28.635727145429083</v>
      </c>
      <c r="H244" s="27">
        <v>29.292929292929298</v>
      </c>
      <c r="I244" s="27">
        <v>30.60306030603061</v>
      </c>
      <c r="J244" s="27">
        <v>31.62</v>
      </c>
      <c r="K244" s="27">
        <v>32.996599319863975</v>
      </c>
      <c r="L244" s="27">
        <v>34.720416124837449</v>
      </c>
      <c r="M244" s="27">
        <v>35.973597359735976</v>
      </c>
      <c r="N244" s="27">
        <v>36.997399479895982</v>
      </c>
      <c r="O244" s="27">
        <v>38.4938493849385</v>
      </c>
    </row>
    <row r="245" spans="1:15" x14ac:dyDescent="0.25">
      <c r="A245" s="2">
        <v>241</v>
      </c>
      <c r="B245" s="27">
        <v>24.027208162448733</v>
      </c>
      <c r="C245" s="27">
        <v>25.425085017003401</v>
      </c>
      <c r="D245" s="27">
        <v>26.240496198479395</v>
      </c>
      <c r="E245" s="27">
        <v>26.958087426227866</v>
      </c>
      <c r="F245" s="27">
        <v>27.725545109021802</v>
      </c>
      <c r="G245" s="27">
        <v>28.475695139027803</v>
      </c>
      <c r="H245" s="27">
        <v>29.132913291329135</v>
      </c>
      <c r="I245" s="27">
        <v>30.443044304430448</v>
      </c>
      <c r="J245" s="27">
        <v>31.44</v>
      </c>
      <c r="K245" s="27">
        <v>32.826565313062609</v>
      </c>
      <c r="L245" s="27">
        <v>34.550365109532855</v>
      </c>
      <c r="M245" s="27">
        <v>35.803580358035809</v>
      </c>
      <c r="N245" s="27">
        <v>36.827365473094616</v>
      </c>
      <c r="O245" s="27">
        <v>38.333833383338337</v>
      </c>
    </row>
    <row r="246" spans="1:15" x14ac:dyDescent="0.25">
      <c r="A246" s="2">
        <v>242</v>
      </c>
      <c r="B246" s="27">
        <v>23.887166149844951</v>
      </c>
      <c r="C246" s="27">
        <v>25.275055011002198</v>
      </c>
      <c r="D246" s="27">
        <v>26.09043617446979</v>
      </c>
      <c r="E246" s="27">
        <v>26.818045413624084</v>
      </c>
      <c r="F246" s="27">
        <v>27.565513102620521</v>
      </c>
      <c r="G246" s="27">
        <v>28.315663132626522</v>
      </c>
      <c r="H246" s="27">
        <v>28.982898289828988</v>
      </c>
      <c r="I246" s="27">
        <v>30.283028302830289</v>
      </c>
      <c r="J246" s="27">
        <v>31.26</v>
      </c>
      <c r="K246" s="27">
        <v>32.666533306661329</v>
      </c>
      <c r="L246" s="27">
        <v>34.380314094228261</v>
      </c>
      <c r="M246" s="27">
        <v>35.633563356335642</v>
      </c>
      <c r="N246" s="27">
        <v>36.647329465893179</v>
      </c>
      <c r="O246" s="27">
        <v>38.153815381538159</v>
      </c>
    </row>
    <row r="247" spans="1:15" x14ac:dyDescent="0.25">
      <c r="A247" s="2">
        <v>243</v>
      </c>
      <c r="B247" s="27">
        <v>23.747124137241169</v>
      </c>
      <c r="C247" s="27">
        <v>25.115023004600918</v>
      </c>
      <c r="D247" s="27">
        <v>25.940376150460189</v>
      </c>
      <c r="E247" s="27">
        <v>26.657997399219763</v>
      </c>
      <c r="F247" s="27">
        <v>27.415483096619322</v>
      </c>
      <c r="G247" s="27">
        <v>28.155631126225241</v>
      </c>
      <c r="H247" s="27">
        <v>28.832883288328834</v>
      </c>
      <c r="I247" s="27">
        <v>30.12301230123013</v>
      </c>
      <c r="J247" s="27">
        <v>31.09</v>
      </c>
      <c r="K247" s="27">
        <v>32.49649929985997</v>
      </c>
      <c r="L247" s="27">
        <v>34.220266079823944</v>
      </c>
      <c r="M247" s="27">
        <v>35.463546354635469</v>
      </c>
      <c r="N247" s="27">
        <v>36.457291458291657</v>
      </c>
      <c r="O247" s="27">
        <v>37.963796379637969</v>
      </c>
    </row>
    <row r="248" spans="1:15" x14ac:dyDescent="0.25">
      <c r="A248" s="2">
        <v>244</v>
      </c>
      <c r="B248" s="27">
        <v>23.61708512553766</v>
      </c>
      <c r="C248" s="27">
        <v>24.974994998999797</v>
      </c>
      <c r="D248" s="27">
        <v>25.790316126450584</v>
      </c>
      <c r="E248" s="27">
        <v>26.507952385715711</v>
      </c>
      <c r="F248" s="27">
        <v>27.265453090618124</v>
      </c>
      <c r="G248" s="27">
        <v>27.995599119823961</v>
      </c>
      <c r="H248" s="27">
        <v>28.672867286728678</v>
      </c>
      <c r="I248" s="27">
        <v>29.962996299629967</v>
      </c>
      <c r="J248" s="27">
        <v>30.93</v>
      </c>
      <c r="K248" s="27">
        <v>32.326465293058611</v>
      </c>
      <c r="L248" s="27">
        <v>34.060218065419619</v>
      </c>
      <c r="M248" s="27">
        <v>35.28352835283529</v>
      </c>
      <c r="N248" s="27">
        <v>36.287257451490298</v>
      </c>
      <c r="O248" s="27">
        <v>37.793779377937796</v>
      </c>
    </row>
    <row r="249" spans="1:15" x14ac:dyDescent="0.25">
      <c r="A249" s="2">
        <v>245</v>
      </c>
      <c r="B249" s="27">
        <v>23.467040112033608</v>
      </c>
      <c r="C249" s="27">
        <v>24.834966993398677</v>
      </c>
      <c r="D249" s="27">
        <v>25.640256102440979</v>
      </c>
      <c r="E249" s="27">
        <v>26.367910373111933</v>
      </c>
      <c r="F249" s="27">
        <v>27.095419083816761</v>
      </c>
      <c r="G249" s="27">
        <v>27.845569113822762</v>
      </c>
      <c r="H249" s="27">
        <v>28.512851285128519</v>
      </c>
      <c r="I249" s="27">
        <v>29.792979297929797</v>
      </c>
      <c r="J249" s="27">
        <v>30.77</v>
      </c>
      <c r="K249" s="27">
        <v>32.146429285857174</v>
      </c>
      <c r="L249" s="27">
        <v>33.890167050115032</v>
      </c>
      <c r="M249" s="27">
        <v>35.103510351035112</v>
      </c>
      <c r="N249" s="27">
        <v>36.137227445489096</v>
      </c>
      <c r="O249" s="27">
        <v>37.63376337633764</v>
      </c>
    </row>
    <row r="250" spans="1:15" x14ac:dyDescent="0.25">
      <c r="A250" s="2">
        <v>246</v>
      </c>
      <c r="B250" s="27">
        <v>23.326998099429829</v>
      </c>
      <c r="C250" s="27">
        <v>24.69493898779756</v>
      </c>
      <c r="D250" s="27">
        <v>25.510204081632658</v>
      </c>
      <c r="E250" s="27">
        <v>26.217865359607881</v>
      </c>
      <c r="F250" s="27">
        <v>26.945389077815562</v>
      </c>
      <c r="G250" s="27">
        <v>27.685537107421482</v>
      </c>
      <c r="H250" s="27">
        <v>28.352835283528357</v>
      </c>
      <c r="I250" s="27">
        <v>29.602960296029607</v>
      </c>
      <c r="J250" s="27">
        <v>30.61</v>
      </c>
      <c r="K250" s="27">
        <v>31.96639327865573</v>
      </c>
      <c r="L250" s="27">
        <v>33.720116034810445</v>
      </c>
      <c r="M250" s="27">
        <v>34.923492349234927</v>
      </c>
      <c r="N250" s="27">
        <v>35.977195439087815</v>
      </c>
      <c r="O250" s="27">
        <v>37.453745374537462</v>
      </c>
    </row>
    <row r="251" spans="1:15" x14ac:dyDescent="0.25">
      <c r="A251" s="2">
        <v>247</v>
      </c>
      <c r="B251" s="27">
        <v>23.176953085925778</v>
      </c>
      <c r="C251" s="27">
        <v>24.554910982196439</v>
      </c>
      <c r="D251" s="27">
        <v>25.370148059223691</v>
      </c>
      <c r="E251" s="27">
        <v>26.05781734520356</v>
      </c>
      <c r="F251" s="27">
        <v>26.805361072214442</v>
      </c>
      <c r="G251" s="27">
        <v>27.535507101420283</v>
      </c>
      <c r="H251" s="27">
        <v>28.192819281928198</v>
      </c>
      <c r="I251" s="27">
        <v>29.442944294429449</v>
      </c>
      <c r="J251" s="27">
        <v>30.47</v>
      </c>
      <c r="K251" s="27">
        <v>31.806361272254449</v>
      </c>
      <c r="L251" s="27">
        <v>33.540062018605582</v>
      </c>
      <c r="M251" s="27">
        <v>34.763476347634764</v>
      </c>
      <c r="N251" s="27">
        <v>35.807161432286456</v>
      </c>
      <c r="O251" s="27">
        <v>37.283728372837288</v>
      </c>
    </row>
    <row r="252" spans="1:15" x14ac:dyDescent="0.25">
      <c r="A252" s="2">
        <v>248</v>
      </c>
      <c r="B252" s="27">
        <v>23.026908072421726</v>
      </c>
      <c r="C252" s="27">
        <v>24.424884976995401</v>
      </c>
      <c r="D252" s="27">
        <v>25.20008003201281</v>
      </c>
      <c r="E252" s="27">
        <v>25.897769330799239</v>
      </c>
      <c r="F252" s="27">
        <v>26.65533106621324</v>
      </c>
      <c r="G252" s="27">
        <v>27.375475095019002</v>
      </c>
      <c r="H252" s="27">
        <v>28.042804280428047</v>
      </c>
      <c r="I252" s="27">
        <v>29.312931293129317</v>
      </c>
      <c r="J252" s="27">
        <v>30.31</v>
      </c>
      <c r="K252" s="27">
        <v>31.646329265853169</v>
      </c>
      <c r="L252" s="27">
        <v>33.360008002400718</v>
      </c>
      <c r="M252" s="27">
        <v>34.603460346034609</v>
      </c>
      <c r="N252" s="27">
        <v>35.637127425485097</v>
      </c>
      <c r="O252" s="27">
        <v>37.123712371237126</v>
      </c>
    </row>
    <row r="253" spans="1:15" x14ac:dyDescent="0.25">
      <c r="A253" s="2">
        <v>249</v>
      </c>
      <c r="B253" s="27">
        <v>22.896869060718213</v>
      </c>
      <c r="C253" s="27">
        <v>24.274854970994198</v>
      </c>
      <c r="D253" s="27">
        <v>25.030012004801925</v>
      </c>
      <c r="E253" s="27">
        <v>25.747724317295184</v>
      </c>
      <c r="F253" s="27">
        <v>26.505301060212041</v>
      </c>
      <c r="G253" s="27">
        <v>27.215443088617722</v>
      </c>
      <c r="H253" s="27">
        <v>27.882788278827885</v>
      </c>
      <c r="I253" s="27">
        <v>29.172917291729178</v>
      </c>
      <c r="J253" s="27">
        <v>30.14</v>
      </c>
      <c r="K253" s="27">
        <v>31.486297259451888</v>
      </c>
      <c r="L253" s="27">
        <v>33.189956987096124</v>
      </c>
      <c r="M253" s="27">
        <v>34.433443344334435</v>
      </c>
      <c r="N253" s="27">
        <v>35.467093418683739</v>
      </c>
      <c r="O253" s="27">
        <v>36.953695369536959</v>
      </c>
    </row>
    <row r="254" spans="1:15" x14ac:dyDescent="0.25">
      <c r="A254" s="2">
        <v>250</v>
      </c>
      <c r="B254" s="27">
        <v>22.756827048114435</v>
      </c>
      <c r="C254" s="27">
        <v>24.134826965393078</v>
      </c>
      <c r="D254" s="27">
        <v>24.889955982392959</v>
      </c>
      <c r="E254" s="27">
        <v>25.607682304691409</v>
      </c>
      <c r="F254" s="27">
        <v>26.355271054210842</v>
      </c>
      <c r="G254" s="27">
        <v>27.065413082616519</v>
      </c>
      <c r="H254" s="27">
        <v>27.722772277227726</v>
      </c>
      <c r="I254" s="27">
        <v>29.012901290129019</v>
      </c>
      <c r="J254" s="27">
        <v>29.98</v>
      </c>
      <c r="K254" s="27">
        <v>31.306261252250451</v>
      </c>
      <c r="L254" s="27">
        <v>33.009902970891268</v>
      </c>
      <c r="M254" s="27">
        <v>34.27342734273428</v>
      </c>
      <c r="N254" s="27">
        <v>35.307061412282451</v>
      </c>
      <c r="O254" s="27">
        <v>36.773677367736781</v>
      </c>
    </row>
    <row r="255" spans="1:15" x14ac:dyDescent="0.25">
      <c r="A255" s="2">
        <v>251</v>
      </c>
      <c r="B255" s="27">
        <v>22.626788036410922</v>
      </c>
      <c r="C255" s="27">
        <v>24.004800960192036</v>
      </c>
      <c r="D255" s="27">
        <v>24.739895958383357</v>
      </c>
      <c r="E255" s="27">
        <v>25.467640292087626</v>
      </c>
      <c r="F255" s="27">
        <v>26.20524104820964</v>
      </c>
      <c r="G255" s="27">
        <v>26.915383076615321</v>
      </c>
      <c r="H255" s="27">
        <v>27.562756275627564</v>
      </c>
      <c r="I255" s="27">
        <v>28.842884288428845</v>
      </c>
      <c r="J255" s="27">
        <v>29.81</v>
      </c>
      <c r="K255" s="27">
        <v>31.136227245449088</v>
      </c>
      <c r="L255" s="27">
        <v>32.839851955586674</v>
      </c>
      <c r="M255" s="27">
        <v>34.103410341034106</v>
      </c>
      <c r="N255" s="27">
        <v>35.137027405481099</v>
      </c>
      <c r="O255" s="27">
        <v>36.603660366036607</v>
      </c>
    </row>
    <row r="256" spans="1:15" x14ac:dyDescent="0.25">
      <c r="A256" s="2">
        <v>252</v>
      </c>
      <c r="B256" s="27">
        <v>22.496749024707409</v>
      </c>
      <c r="C256" s="27">
        <v>23.864772954590915</v>
      </c>
      <c r="D256" s="27">
        <v>24.609843937575036</v>
      </c>
      <c r="E256" s="27">
        <v>25.317595278583571</v>
      </c>
      <c r="F256" s="27">
        <v>26.065213042608519</v>
      </c>
      <c r="G256" s="27">
        <v>26.765353070614122</v>
      </c>
      <c r="H256" s="27">
        <v>27.392739273927397</v>
      </c>
      <c r="I256" s="27">
        <v>28.672867286728678</v>
      </c>
      <c r="J256" s="27">
        <v>29.64</v>
      </c>
      <c r="K256" s="27">
        <v>30.98619723944789</v>
      </c>
      <c r="L256" s="27">
        <v>32.679803941182357</v>
      </c>
      <c r="M256" s="27">
        <v>33.923392339233928</v>
      </c>
      <c r="N256" s="27">
        <v>34.956991398279655</v>
      </c>
      <c r="O256" s="27">
        <v>36.443644364436445</v>
      </c>
    </row>
    <row r="257" spans="1:15" x14ac:dyDescent="0.25">
      <c r="A257" s="2">
        <v>253</v>
      </c>
      <c r="B257" s="27">
        <v>22.346704011203361</v>
      </c>
      <c r="C257" s="27">
        <v>23.714742948589716</v>
      </c>
      <c r="D257" s="27">
        <v>24.479791916766711</v>
      </c>
      <c r="E257" s="27">
        <v>25.167550265079523</v>
      </c>
      <c r="F257" s="27">
        <v>25.915183036607321</v>
      </c>
      <c r="G257" s="27">
        <v>26.61532306461292</v>
      </c>
      <c r="H257" s="27">
        <v>27.252725272527258</v>
      </c>
      <c r="I257" s="27">
        <v>28.512851285128519</v>
      </c>
      <c r="J257" s="27">
        <v>29.47</v>
      </c>
      <c r="K257" s="27">
        <v>30.836167233446687</v>
      </c>
      <c r="L257" s="27">
        <v>32.519755926778032</v>
      </c>
      <c r="M257" s="27">
        <v>33.763376337633765</v>
      </c>
      <c r="N257" s="27">
        <v>34.796959391878374</v>
      </c>
      <c r="O257" s="27">
        <v>36.273627362736285</v>
      </c>
    </row>
    <row r="258" spans="1:15" x14ac:dyDescent="0.25">
      <c r="A258" s="2">
        <v>254</v>
      </c>
      <c r="B258" s="27">
        <v>22.186655996799036</v>
      </c>
      <c r="C258" s="27">
        <v>23.584716943388674</v>
      </c>
      <c r="D258" s="27">
        <v>24.339735894357744</v>
      </c>
      <c r="E258" s="27">
        <v>25.007502250675202</v>
      </c>
      <c r="F258" s="27">
        <v>25.765153030606122</v>
      </c>
      <c r="G258" s="27">
        <v>26.455291058211639</v>
      </c>
      <c r="H258" s="27">
        <v>27.112711271127115</v>
      </c>
      <c r="I258" s="27">
        <v>28.352835283528357</v>
      </c>
      <c r="J258" s="27">
        <v>29.31</v>
      </c>
      <c r="K258" s="27">
        <v>30.666133226645329</v>
      </c>
      <c r="L258" s="27">
        <v>32.349704911473445</v>
      </c>
      <c r="M258" s="27">
        <v>33.593359335933599</v>
      </c>
      <c r="N258" s="27">
        <v>34.626925385077008</v>
      </c>
      <c r="O258" s="27">
        <v>36.103610361036111</v>
      </c>
    </row>
    <row r="259" spans="1:15" x14ac:dyDescent="0.25">
      <c r="A259" s="2">
        <v>255</v>
      </c>
      <c r="B259" s="27">
        <v>22.036610983294988</v>
      </c>
      <c r="C259" s="27">
        <v>23.434686937387475</v>
      </c>
      <c r="D259" s="27">
        <v>24.199679871948785</v>
      </c>
      <c r="E259" s="27">
        <v>24.85745723717115</v>
      </c>
      <c r="F259" s="27">
        <v>25.605121024204841</v>
      </c>
      <c r="G259" s="27">
        <v>26.30526105221044</v>
      </c>
      <c r="H259" s="27">
        <v>26.962696269626967</v>
      </c>
      <c r="I259" s="27">
        <v>28.212821282128218</v>
      </c>
      <c r="J259" s="27">
        <v>29.15</v>
      </c>
      <c r="K259" s="27">
        <v>30.506101220244048</v>
      </c>
      <c r="L259" s="27">
        <v>32.19965989796939</v>
      </c>
      <c r="M259" s="27">
        <v>33.413341334133413</v>
      </c>
      <c r="N259" s="27">
        <v>34.466893378675735</v>
      </c>
      <c r="O259" s="27">
        <v>35.933593359335937</v>
      </c>
    </row>
    <row r="260" spans="1:15" x14ac:dyDescent="0.25">
      <c r="A260" s="2">
        <v>256</v>
      </c>
      <c r="B260" s="27">
        <v>21.886565969790936</v>
      </c>
      <c r="C260" s="27">
        <v>23.284656931386277</v>
      </c>
      <c r="D260" s="27">
        <v>24.04961984793918</v>
      </c>
      <c r="E260" s="27">
        <v>24.717415224567368</v>
      </c>
      <c r="F260" s="27">
        <v>25.465093018603721</v>
      </c>
      <c r="G260" s="27">
        <v>26.14522904580916</v>
      </c>
      <c r="H260" s="27">
        <v>26.792679267926797</v>
      </c>
      <c r="I260" s="27">
        <v>28.062806280628067</v>
      </c>
      <c r="J260" s="27">
        <v>28.99</v>
      </c>
      <c r="K260" s="27">
        <v>30.346069213842767</v>
      </c>
      <c r="L260" s="27">
        <v>32.039611883565065</v>
      </c>
      <c r="M260" s="27">
        <v>33.243324332433247</v>
      </c>
      <c r="N260" s="27">
        <v>34.286857371474298</v>
      </c>
      <c r="O260" s="27">
        <v>35.773577357735782</v>
      </c>
    </row>
    <row r="261" spans="1:15" x14ac:dyDescent="0.25">
      <c r="A261" s="2">
        <v>257</v>
      </c>
      <c r="B261" s="27">
        <v>21.756526958087424</v>
      </c>
      <c r="C261" s="27">
        <v>23.144628925785156</v>
      </c>
      <c r="D261" s="27">
        <v>23.909563825530213</v>
      </c>
      <c r="E261" s="27">
        <v>24.587376212863855</v>
      </c>
      <c r="F261" s="27">
        <v>25.315063012602518</v>
      </c>
      <c r="G261" s="27">
        <v>26.005201040208039</v>
      </c>
      <c r="H261" s="27">
        <v>26.632663266326634</v>
      </c>
      <c r="I261" s="27">
        <v>27.892789278927896</v>
      </c>
      <c r="J261" s="27">
        <v>28.84</v>
      </c>
      <c r="K261" s="27">
        <v>30.186037207441487</v>
      </c>
      <c r="L261" s="27">
        <v>31.869560868260475</v>
      </c>
      <c r="M261" s="27">
        <v>33.093309330933103</v>
      </c>
      <c r="N261" s="27">
        <v>34.12682536507301</v>
      </c>
      <c r="O261" s="27">
        <v>35.603560356035608</v>
      </c>
    </row>
    <row r="262" spans="1:15" x14ac:dyDescent="0.25">
      <c r="A262" s="2">
        <v>258</v>
      </c>
      <c r="B262" s="27">
        <v>21.626487946383914</v>
      </c>
      <c r="C262" s="27">
        <v>23.024604920984196</v>
      </c>
      <c r="D262" s="27">
        <v>23.759503801520612</v>
      </c>
      <c r="E262" s="27">
        <v>24.447334200260077</v>
      </c>
      <c r="F262" s="27">
        <v>25.16503300660132</v>
      </c>
      <c r="G262" s="27">
        <v>25.85517103420684</v>
      </c>
      <c r="H262" s="27">
        <v>26.472647264726476</v>
      </c>
      <c r="I262" s="27">
        <v>27.732773277327738</v>
      </c>
      <c r="J262" s="27">
        <v>28.7</v>
      </c>
      <c r="K262" s="27">
        <v>30.016003200640128</v>
      </c>
      <c r="L262" s="27">
        <v>31.689506852055615</v>
      </c>
      <c r="M262" s="27">
        <v>32.943294329432945</v>
      </c>
      <c r="N262" s="27">
        <v>33.966793358671737</v>
      </c>
      <c r="O262" s="27">
        <v>35.443544354435446</v>
      </c>
    </row>
    <row r="263" spans="1:15" x14ac:dyDescent="0.25">
      <c r="A263" s="2">
        <v>259</v>
      </c>
      <c r="B263" s="27">
        <v>21.506451935580674</v>
      </c>
      <c r="C263" s="27">
        <v>22.904580916183235</v>
      </c>
      <c r="D263" s="27">
        <v>23.619447779111649</v>
      </c>
      <c r="E263" s="27">
        <v>24.307292187656294</v>
      </c>
      <c r="F263" s="27">
        <v>25.025005001000199</v>
      </c>
      <c r="G263" s="27">
        <v>25.71514302860572</v>
      </c>
      <c r="H263" s="27">
        <v>26.322632263226328</v>
      </c>
      <c r="I263" s="27">
        <v>27.582758275827587</v>
      </c>
      <c r="J263" s="27">
        <v>28.54</v>
      </c>
      <c r="K263" s="27">
        <v>29.855971194238847</v>
      </c>
      <c r="L263" s="27">
        <v>31.539461838551563</v>
      </c>
      <c r="M263" s="27">
        <v>32.78327832783279</v>
      </c>
      <c r="N263" s="27">
        <v>33.796759351870371</v>
      </c>
      <c r="O263" s="27">
        <v>35.28352835283529</v>
      </c>
    </row>
    <row r="264" spans="1:15" x14ac:dyDescent="0.25">
      <c r="A264" s="2">
        <v>260</v>
      </c>
      <c r="B264" s="27">
        <v>21.386415924777431</v>
      </c>
      <c r="C264" s="27">
        <v>22.764552910582118</v>
      </c>
      <c r="D264" s="27">
        <v>23.489395758303324</v>
      </c>
      <c r="E264" s="27">
        <v>24.157247174152243</v>
      </c>
      <c r="F264" s="27">
        <v>24.884976995399079</v>
      </c>
      <c r="G264" s="27">
        <v>25.565113022604518</v>
      </c>
      <c r="H264" s="27">
        <v>26.182618261826185</v>
      </c>
      <c r="I264" s="27">
        <v>27.442744274427447</v>
      </c>
      <c r="J264" s="27">
        <v>28.38</v>
      </c>
      <c r="K264" s="27">
        <v>29.705941188237645</v>
      </c>
      <c r="L264" s="27">
        <v>31.389416825047512</v>
      </c>
      <c r="M264" s="27">
        <v>32.623262326232627</v>
      </c>
      <c r="N264" s="27">
        <v>33.626725345069012</v>
      </c>
      <c r="O264" s="27">
        <v>35.103510351035112</v>
      </c>
    </row>
    <row r="265" spans="1:15" x14ac:dyDescent="0.25">
      <c r="A265" s="2">
        <v>261</v>
      </c>
      <c r="B265" s="27">
        <v>21.266379913974191</v>
      </c>
      <c r="C265" s="27">
        <v>22.624524904980998</v>
      </c>
      <c r="D265" s="27">
        <v>23.359343737495003</v>
      </c>
      <c r="E265" s="27">
        <v>24.017205161548464</v>
      </c>
      <c r="F265" s="27">
        <v>24.73494698939788</v>
      </c>
      <c r="G265" s="27">
        <v>25.425085017003401</v>
      </c>
      <c r="H265" s="27">
        <v>26.042604260426046</v>
      </c>
      <c r="I265" s="27">
        <v>27.282728272827288</v>
      </c>
      <c r="J265" s="27">
        <v>28.23</v>
      </c>
      <c r="K265" s="27">
        <v>29.545909181836365</v>
      </c>
      <c r="L265" s="27">
        <v>31.229368810643191</v>
      </c>
      <c r="M265" s="27">
        <v>32.463246324632472</v>
      </c>
      <c r="N265" s="27">
        <v>33.466693338667731</v>
      </c>
      <c r="O265" s="27">
        <v>34.943494349434943</v>
      </c>
    </row>
    <row r="266" spans="1:15" x14ac:dyDescent="0.25">
      <c r="A266" s="2">
        <v>262</v>
      </c>
      <c r="B266" s="27">
        <v>21.146343903170951</v>
      </c>
      <c r="C266" s="27">
        <v>22.494498899779952</v>
      </c>
      <c r="D266" s="27">
        <v>23.21928771508604</v>
      </c>
      <c r="E266" s="27">
        <v>23.877163148944682</v>
      </c>
      <c r="F266" s="27">
        <v>24.594918983796759</v>
      </c>
      <c r="G266" s="27">
        <v>25.275055011002198</v>
      </c>
      <c r="H266" s="27">
        <v>25.902590259025907</v>
      </c>
      <c r="I266" s="27">
        <v>27.122712271227126</v>
      </c>
      <c r="J266" s="27">
        <v>28.07</v>
      </c>
      <c r="K266" s="27">
        <v>29.375875175035006</v>
      </c>
      <c r="L266" s="27">
        <v>31.06932079623887</v>
      </c>
      <c r="M266" s="27">
        <v>32.293229322932298</v>
      </c>
      <c r="N266" s="27">
        <v>33.316663332666536</v>
      </c>
      <c r="O266" s="27">
        <v>34.773477347734783</v>
      </c>
    </row>
    <row r="267" spans="1:15" x14ac:dyDescent="0.25">
      <c r="A267" s="2">
        <v>263</v>
      </c>
      <c r="B267" s="27">
        <v>21.016304891467442</v>
      </c>
      <c r="C267" s="27">
        <v>22.364472894578913</v>
      </c>
      <c r="D267" s="27">
        <v>23.079231692677073</v>
      </c>
      <c r="E267" s="27">
        <v>23.7371211363409</v>
      </c>
      <c r="F267" s="27">
        <v>24.454890978195639</v>
      </c>
      <c r="G267" s="27">
        <v>25.125025005001</v>
      </c>
      <c r="H267" s="27">
        <v>25.742574257425744</v>
      </c>
      <c r="I267" s="27">
        <v>26.972697269726975</v>
      </c>
      <c r="J267" s="27">
        <v>27.92</v>
      </c>
      <c r="K267" s="27">
        <v>29.215843168633725</v>
      </c>
      <c r="L267" s="27">
        <v>30.919275782734818</v>
      </c>
      <c r="M267" s="27">
        <v>32.133213321332143</v>
      </c>
      <c r="N267" s="27">
        <v>33.166633326665327</v>
      </c>
      <c r="O267" s="27">
        <v>34.603460346034609</v>
      </c>
    </row>
    <row r="268" spans="1:15" x14ac:dyDescent="0.25">
      <c r="A268" s="2">
        <v>264</v>
      </c>
      <c r="B268" s="27">
        <v>20.87626287886366</v>
      </c>
      <c r="C268" s="27">
        <v>22.214442888577715</v>
      </c>
      <c r="D268" s="27">
        <v>22.93917567026811</v>
      </c>
      <c r="E268" s="27">
        <v>23.597079123737121</v>
      </c>
      <c r="F268" s="27">
        <v>24.334866973394675</v>
      </c>
      <c r="G268" s="27">
        <v>24.984996999399879</v>
      </c>
      <c r="H268" s="27">
        <v>25.582558255825585</v>
      </c>
      <c r="I268" s="27">
        <v>26.832683268326836</v>
      </c>
      <c r="J268" s="27">
        <v>27.77</v>
      </c>
      <c r="K268" s="27">
        <v>29.075815163032605</v>
      </c>
      <c r="L268" s="27">
        <v>30.76923076923077</v>
      </c>
      <c r="M268" s="27">
        <v>31.973197319731977</v>
      </c>
      <c r="N268" s="27">
        <v>33.016603320664132</v>
      </c>
      <c r="O268" s="27">
        <v>34.453445344534458</v>
      </c>
    </row>
    <row r="269" spans="1:15" x14ac:dyDescent="0.25">
      <c r="A269" s="2">
        <v>265</v>
      </c>
      <c r="B269" s="27">
        <v>20.746223867160147</v>
      </c>
      <c r="C269" s="27">
        <v>22.074414882976594</v>
      </c>
      <c r="D269" s="27">
        <v>22.799119647859147</v>
      </c>
      <c r="E269" s="27">
        <v>23.467040112033608</v>
      </c>
      <c r="F269" s="27">
        <v>24.194838967793558</v>
      </c>
      <c r="G269" s="27">
        <v>24.844968993798759</v>
      </c>
      <c r="H269" s="27">
        <v>25.442544254425446</v>
      </c>
      <c r="I269" s="27">
        <v>26.692669266926696</v>
      </c>
      <c r="J269" s="27">
        <v>27.62</v>
      </c>
      <c r="K269" s="27">
        <v>28.935787157431484</v>
      </c>
      <c r="L269" s="27">
        <v>30.619185755726715</v>
      </c>
      <c r="M269" s="27">
        <v>31.833183318331837</v>
      </c>
      <c r="N269" s="27">
        <v>32.836567313462687</v>
      </c>
      <c r="O269" s="27">
        <v>34.293429342934296</v>
      </c>
    </row>
    <row r="270" spans="1:15" x14ac:dyDescent="0.25">
      <c r="A270" s="2">
        <v>266</v>
      </c>
      <c r="B270" s="27">
        <v>20.606181854556368</v>
      </c>
      <c r="C270" s="27">
        <v>21.954390878175634</v>
      </c>
      <c r="D270" s="27">
        <v>22.669067627050826</v>
      </c>
      <c r="E270" s="27">
        <v>23.347004101230368</v>
      </c>
      <c r="F270" s="27">
        <v>24.054810962192438</v>
      </c>
      <c r="G270" s="27">
        <v>24.704940988197638</v>
      </c>
      <c r="H270" s="27">
        <v>25.292529252925295</v>
      </c>
      <c r="I270" s="27">
        <v>26.542654265426545</v>
      </c>
      <c r="J270" s="27">
        <v>27.47</v>
      </c>
      <c r="K270" s="27">
        <v>28.785757151430285</v>
      </c>
      <c r="L270" s="27">
        <v>30.449134740422124</v>
      </c>
      <c r="M270" s="27">
        <v>31.663166316631667</v>
      </c>
      <c r="N270" s="27">
        <v>32.65653130626125</v>
      </c>
      <c r="O270" s="27">
        <v>34.113411341134118</v>
      </c>
    </row>
    <row r="271" spans="1:15" x14ac:dyDescent="0.25">
      <c r="A271" s="2">
        <v>267</v>
      </c>
      <c r="B271" s="27">
        <v>20.476142842852852</v>
      </c>
      <c r="C271" s="27">
        <v>21.824364872974595</v>
      </c>
      <c r="D271" s="27">
        <v>22.539015606242501</v>
      </c>
      <c r="E271" s="27">
        <v>23.206962088626586</v>
      </c>
      <c r="F271" s="27">
        <v>23.894778955791157</v>
      </c>
      <c r="G271" s="27">
        <v>24.564912982596518</v>
      </c>
      <c r="H271" s="27">
        <v>25.152515251525156</v>
      </c>
      <c r="I271" s="27">
        <v>26.382638263826387</v>
      </c>
      <c r="J271" s="27">
        <v>27.32</v>
      </c>
      <c r="K271" s="27">
        <v>28.625725145029005</v>
      </c>
      <c r="L271" s="27">
        <v>30.289086726017803</v>
      </c>
      <c r="M271" s="27">
        <v>31.493149314931497</v>
      </c>
      <c r="N271" s="27">
        <v>32.506501300260048</v>
      </c>
      <c r="O271" s="27">
        <v>33.943394339433944</v>
      </c>
    </row>
    <row r="272" spans="1:15" x14ac:dyDescent="0.25">
      <c r="A272" s="2">
        <v>268</v>
      </c>
      <c r="B272" s="27">
        <v>20.356106832049615</v>
      </c>
      <c r="C272" s="27">
        <v>21.674334866973396</v>
      </c>
      <c r="D272" s="27">
        <v>22.418967587034818</v>
      </c>
      <c r="E272" s="27">
        <v>23.076923076923077</v>
      </c>
      <c r="F272" s="27">
        <v>23.754750950190036</v>
      </c>
      <c r="G272" s="27">
        <v>24.424884976995401</v>
      </c>
      <c r="H272" s="27">
        <v>25.012501250125016</v>
      </c>
      <c r="I272" s="27">
        <v>26.252625262526255</v>
      </c>
      <c r="J272" s="27">
        <v>27.17</v>
      </c>
      <c r="K272" s="27">
        <v>28.475695139027803</v>
      </c>
      <c r="L272" s="27">
        <v>30.139041712513752</v>
      </c>
      <c r="M272" s="27">
        <v>31.343134313431346</v>
      </c>
      <c r="N272" s="27">
        <v>32.356471294258853</v>
      </c>
      <c r="O272" s="27">
        <v>33.803380338033804</v>
      </c>
    </row>
    <row r="273" spans="1:15" x14ac:dyDescent="0.25">
      <c r="A273" s="2">
        <v>269</v>
      </c>
      <c r="B273" s="27">
        <v>20.236070821246372</v>
      </c>
      <c r="C273" s="27">
        <v>21.534306861372276</v>
      </c>
      <c r="D273" s="27">
        <v>22.308923569427776</v>
      </c>
      <c r="E273" s="27">
        <v>22.946884065219567</v>
      </c>
      <c r="F273" s="27">
        <v>23.624724944988998</v>
      </c>
      <c r="G273" s="27">
        <v>24.28485697139428</v>
      </c>
      <c r="H273" s="27">
        <v>24.882488248824885</v>
      </c>
      <c r="I273" s="27">
        <v>26.122612261226127</v>
      </c>
      <c r="J273" s="27">
        <v>27.02</v>
      </c>
      <c r="K273" s="27">
        <v>28.325665133026604</v>
      </c>
      <c r="L273" s="27">
        <v>29.9889966990097</v>
      </c>
      <c r="M273" s="27">
        <v>31.183118311831187</v>
      </c>
      <c r="N273" s="27">
        <v>32.196439287857565</v>
      </c>
      <c r="O273" s="27">
        <v>33.643364336433649</v>
      </c>
    </row>
    <row r="274" spans="1:15" x14ac:dyDescent="0.25">
      <c r="A274" s="2">
        <v>270</v>
      </c>
      <c r="B274" s="27">
        <v>20.126037811343402</v>
      </c>
      <c r="C274" s="27">
        <v>21.414282856571312</v>
      </c>
      <c r="D274" s="27">
        <v>22.188875550220093</v>
      </c>
      <c r="E274" s="27">
        <v>22.806842052615785</v>
      </c>
      <c r="F274" s="27">
        <v>23.484696939387877</v>
      </c>
      <c r="G274" s="27">
        <v>24.154830966193238</v>
      </c>
      <c r="H274" s="27">
        <v>24.762476247624768</v>
      </c>
      <c r="I274" s="27">
        <v>25.982598259825988</v>
      </c>
      <c r="J274" s="27">
        <v>26.89</v>
      </c>
      <c r="K274" s="27">
        <v>28.165633126625323</v>
      </c>
      <c r="L274" s="27">
        <v>29.828948684605379</v>
      </c>
      <c r="M274" s="27">
        <v>31.023102310231028</v>
      </c>
      <c r="N274" s="27">
        <v>32.04640928185637</v>
      </c>
      <c r="O274" s="27">
        <v>33.493349334933498</v>
      </c>
    </row>
    <row r="275" spans="1:15" x14ac:dyDescent="0.25">
      <c r="A275" s="2">
        <v>271</v>
      </c>
      <c r="B275" s="27">
        <v>20.006001800540162</v>
      </c>
      <c r="C275" s="27">
        <v>21.304260852170433</v>
      </c>
      <c r="D275" s="27">
        <v>22.048819527811126</v>
      </c>
      <c r="E275" s="27">
        <v>22.686806041812542</v>
      </c>
      <c r="F275" s="27">
        <v>23.354670934186839</v>
      </c>
      <c r="G275" s="27">
        <v>24.014802960592117</v>
      </c>
      <c r="H275" s="27">
        <v>24.632463246324633</v>
      </c>
      <c r="I275" s="27">
        <v>25.852585258525856</v>
      </c>
      <c r="J275" s="27">
        <v>26.76</v>
      </c>
      <c r="K275" s="27">
        <v>28.025605121024203</v>
      </c>
      <c r="L275" s="27">
        <v>29.688906672001597</v>
      </c>
      <c r="M275" s="27">
        <v>30.883088308830885</v>
      </c>
      <c r="N275" s="27">
        <v>31.896379275855171</v>
      </c>
      <c r="O275" s="27">
        <v>33.353335333533359</v>
      </c>
    </row>
    <row r="276" spans="1:15" x14ac:dyDescent="0.25">
      <c r="A276" s="2">
        <v>272</v>
      </c>
      <c r="B276" s="27">
        <v>19.885965789736918</v>
      </c>
      <c r="C276" s="27">
        <v>21.174234846969394</v>
      </c>
      <c r="D276" s="27">
        <v>21.898759503801525</v>
      </c>
      <c r="E276" s="27">
        <v>22.566770031009302</v>
      </c>
      <c r="F276" s="27">
        <v>23.224644928985796</v>
      </c>
      <c r="G276" s="27">
        <v>23.884776955391075</v>
      </c>
      <c r="H276" s="27">
        <v>24.492449244924494</v>
      </c>
      <c r="I276" s="27">
        <v>25.702570257025705</v>
      </c>
      <c r="J276" s="27">
        <v>26.61</v>
      </c>
      <c r="K276" s="27">
        <v>27.875575115023004</v>
      </c>
      <c r="L276" s="27">
        <v>29.548864659397818</v>
      </c>
      <c r="M276" s="27">
        <v>30.743074307430746</v>
      </c>
      <c r="N276" s="27">
        <v>31.736347269453891</v>
      </c>
      <c r="O276" s="27">
        <v>33.203320332033208</v>
      </c>
    </row>
    <row r="277" spans="1:15" x14ac:dyDescent="0.25">
      <c r="A277" s="2">
        <v>273</v>
      </c>
      <c r="B277" s="27">
        <v>19.765929778933682</v>
      </c>
      <c r="C277" s="27">
        <v>21.054210842168434</v>
      </c>
      <c r="D277" s="27">
        <v>21.758703481392562</v>
      </c>
      <c r="E277" s="27">
        <v>22.436731019305789</v>
      </c>
      <c r="F277" s="27">
        <v>23.094618923784754</v>
      </c>
      <c r="G277" s="27">
        <v>23.744748949789955</v>
      </c>
      <c r="H277" s="27">
        <v>24.352435243524358</v>
      </c>
      <c r="I277" s="27">
        <v>25.552555255525558</v>
      </c>
      <c r="J277" s="27">
        <v>26.47</v>
      </c>
      <c r="K277" s="27">
        <v>27.745549109821962</v>
      </c>
      <c r="L277" s="27">
        <v>29.398819645893767</v>
      </c>
      <c r="M277" s="27">
        <v>30.593059305930598</v>
      </c>
      <c r="N277" s="27">
        <v>31.586317263452688</v>
      </c>
      <c r="O277" s="27">
        <v>33.043304330433045</v>
      </c>
    </row>
    <row r="278" spans="1:15" x14ac:dyDescent="0.25">
      <c r="A278" s="2">
        <v>274</v>
      </c>
      <c r="B278" s="27">
        <v>19.645893768130438</v>
      </c>
      <c r="C278" s="27">
        <v>20.934186837367474</v>
      </c>
      <c r="D278" s="27">
        <v>21.628651460584237</v>
      </c>
      <c r="E278" s="27">
        <v>22.30669200760228</v>
      </c>
      <c r="F278" s="27">
        <v>22.964592918583715</v>
      </c>
      <c r="G278" s="27">
        <v>23.614722944588916</v>
      </c>
      <c r="H278" s="27">
        <v>24.212421242124215</v>
      </c>
      <c r="I278" s="27">
        <v>25.422542254225426</v>
      </c>
      <c r="J278" s="27">
        <v>26.32</v>
      </c>
      <c r="K278" s="27">
        <v>27.615523104620923</v>
      </c>
      <c r="L278" s="27">
        <v>29.238771631489445</v>
      </c>
      <c r="M278" s="27">
        <v>30.443044304430448</v>
      </c>
      <c r="N278" s="27">
        <v>31.43628725745149</v>
      </c>
      <c r="O278" s="27">
        <v>32.893289328932902</v>
      </c>
    </row>
    <row r="279" spans="1:15" x14ac:dyDescent="0.25">
      <c r="A279" s="2">
        <v>275</v>
      </c>
      <c r="B279" s="27">
        <v>19.535860758227468</v>
      </c>
      <c r="C279" s="27">
        <v>20.804160832166431</v>
      </c>
      <c r="D279" s="27">
        <v>21.518607442977196</v>
      </c>
      <c r="E279" s="27">
        <v>22.166649994998497</v>
      </c>
      <c r="F279" s="27">
        <v>22.824564912982595</v>
      </c>
      <c r="G279" s="27">
        <v>23.474694938987795</v>
      </c>
      <c r="H279" s="27">
        <v>24.072407240724075</v>
      </c>
      <c r="I279" s="27">
        <v>25.292529252925295</v>
      </c>
      <c r="J279" s="27">
        <v>26.17</v>
      </c>
      <c r="K279" s="27">
        <v>27.465493098619724</v>
      </c>
      <c r="L279" s="27">
        <v>29.068720616184851</v>
      </c>
      <c r="M279" s="27">
        <v>30.293029302930297</v>
      </c>
      <c r="N279" s="27">
        <v>31.286257251450291</v>
      </c>
      <c r="O279" s="27">
        <v>32.733273327332732</v>
      </c>
    </row>
    <row r="280" spans="1:15" x14ac:dyDescent="0.25">
      <c r="A280" s="2">
        <v>276</v>
      </c>
      <c r="B280" s="27">
        <v>19.425827748324497</v>
      </c>
      <c r="C280" s="27">
        <v>20.694138827765553</v>
      </c>
      <c r="D280" s="27">
        <v>21.408563425370151</v>
      </c>
      <c r="E280" s="27">
        <v>22.046613984195258</v>
      </c>
      <c r="F280" s="27">
        <v>22.694538907781556</v>
      </c>
      <c r="G280" s="27">
        <v>23.334666933386675</v>
      </c>
      <c r="H280" s="27">
        <v>23.932393239323936</v>
      </c>
      <c r="I280" s="27">
        <v>25.152515251525156</v>
      </c>
      <c r="J280" s="27">
        <v>26.04</v>
      </c>
      <c r="K280" s="27">
        <v>27.315463092618522</v>
      </c>
      <c r="L280" s="27">
        <v>28.90867260178053</v>
      </c>
      <c r="M280" s="27">
        <v>30.153015301530157</v>
      </c>
      <c r="N280" s="27">
        <v>31.136227245449088</v>
      </c>
      <c r="O280" s="27">
        <v>32.583258325832588</v>
      </c>
    </row>
    <row r="281" spans="1:15" x14ac:dyDescent="0.25">
      <c r="A281" s="2">
        <v>277</v>
      </c>
      <c r="B281" s="27">
        <v>19.315794738421523</v>
      </c>
      <c r="C281" s="27">
        <v>20.594118823764752</v>
      </c>
      <c r="D281" s="27">
        <v>21.268507402961191</v>
      </c>
      <c r="E281" s="27">
        <v>21.926577973392018</v>
      </c>
      <c r="F281" s="27">
        <v>22.564512902580514</v>
      </c>
      <c r="G281" s="27">
        <v>23.204640928185636</v>
      </c>
      <c r="H281" s="27">
        <v>23.802380238023808</v>
      </c>
      <c r="I281" s="27">
        <v>25.012501250125016</v>
      </c>
      <c r="J281" s="27">
        <v>25.91</v>
      </c>
      <c r="K281" s="27">
        <v>27.165433086617323</v>
      </c>
      <c r="L281" s="27">
        <v>28.758627588276482</v>
      </c>
      <c r="M281" s="27">
        <v>30.003000300030006</v>
      </c>
      <c r="N281" s="27">
        <v>30.996199239847968</v>
      </c>
      <c r="O281" s="27">
        <v>32.433243324332437</v>
      </c>
    </row>
    <row r="282" spans="1:15" x14ac:dyDescent="0.25">
      <c r="A282" s="2">
        <v>278</v>
      </c>
      <c r="B282" s="27">
        <v>19.195758727618287</v>
      </c>
      <c r="C282" s="27">
        <v>20.50410082016403</v>
      </c>
      <c r="D282" s="27">
        <v>21.128451380552224</v>
      </c>
      <c r="E282" s="27">
        <v>21.816544963489044</v>
      </c>
      <c r="F282" s="27">
        <v>22.434486897379475</v>
      </c>
      <c r="G282" s="27">
        <v>23.074614922984598</v>
      </c>
      <c r="H282" s="27">
        <v>23.662366236623665</v>
      </c>
      <c r="I282" s="27">
        <v>24.872487248724877</v>
      </c>
      <c r="J282" s="27">
        <v>25.77</v>
      </c>
      <c r="K282" s="27">
        <v>27.025405081016203</v>
      </c>
      <c r="L282" s="27">
        <v>28.62858857657297</v>
      </c>
      <c r="M282" s="27">
        <v>29.852985298529859</v>
      </c>
      <c r="N282" s="27">
        <v>30.846169233846769</v>
      </c>
      <c r="O282" s="27">
        <v>32.283228322832286</v>
      </c>
    </row>
    <row r="283" spans="1:15" x14ac:dyDescent="0.25">
      <c r="A283" s="2">
        <v>279</v>
      </c>
      <c r="B283" s="27">
        <v>19.085725717715313</v>
      </c>
      <c r="C283" s="27">
        <v>20.38407681536307</v>
      </c>
      <c r="D283" s="27">
        <v>20.9983993597439</v>
      </c>
      <c r="E283" s="27">
        <v>21.686505951785534</v>
      </c>
      <c r="F283" s="27">
        <v>22.314462892578515</v>
      </c>
      <c r="G283" s="27">
        <v>22.954590918183634</v>
      </c>
      <c r="H283" s="27">
        <v>23.532353235323537</v>
      </c>
      <c r="I283" s="27">
        <v>24.732473247324737</v>
      </c>
      <c r="J283" s="27">
        <v>25.62</v>
      </c>
      <c r="K283" s="27">
        <v>26.875375075015004</v>
      </c>
      <c r="L283" s="27">
        <v>28.498549564869457</v>
      </c>
      <c r="M283" s="27">
        <v>29.71297129712972</v>
      </c>
      <c r="N283" s="27">
        <v>30.69613922784557</v>
      </c>
      <c r="O283" s="27">
        <v>32.143214321432147</v>
      </c>
    </row>
    <row r="284" spans="1:15" x14ac:dyDescent="0.25">
      <c r="A284" s="2">
        <v>280</v>
      </c>
      <c r="B284" s="27">
        <v>18.965689706912073</v>
      </c>
      <c r="C284" s="27">
        <v>20.244048809761949</v>
      </c>
      <c r="D284" s="27">
        <v>20.8983593437375</v>
      </c>
      <c r="E284" s="27">
        <v>21.566469940982291</v>
      </c>
      <c r="F284" s="27">
        <v>22.194438887777554</v>
      </c>
      <c r="G284" s="27">
        <v>22.824564912982595</v>
      </c>
      <c r="H284" s="27">
        <v>23.412341234123417</v>
      </c>
      <c r="I284" s="27">
        <v>24.602460246024606</v>
      </c>
      <c r="J284" s="27">
        <v>25.48</v>
      </c>
      <c r="K284" s="27">
        <v>26.745349069813962</v>
      </c>
      <c r="L284" s="27">
        <v>28.358507552265678</v>
      </c>
      <c r="M284" s="27">
        <v>29.572957295729577</v>
      </c>
      <c r="N284" s="27">
        <v>30.566113222644525</v>
      </c>
      <c r="O284" s="27">
        <v>31.983198319831988</v>
      </c>
    </row>
    <row r="285" spans="1:15" x14ac:dyDescent="0.25">
      <c r="A285" s="2">
        <v>281</v>
      </c>
      <c r="B285" s="27">
        <v>18.855656697009103</v>
      </c>
      <c r="C285" s="27">
        <v>20.104020804160832</v>
      </c>
      <c r="D285" s="27">
        <v>20.788315326130455</v>
      </c>
      <c r="E285" s="27">
        <v>21.426427928378512</v>
      </c>
      <c r="F285" s="27">
        <v>22.064412882576512</v>
      </c>
      <c r="G285" s="27">
        <v>22.694538907781556</v>
      </c>
      <c r="H285" s="27">
        <v>23.282328232823286</v>
      </c>
      <c r="I285" s="27">
        <v>24.472447244724474</v>
      </c>
      <c r="J285" s="27">
        <v>25.33</v>
      </c>
      <c r="K285" s="27">
        <v>26.605321064212841</v>
      </c>
      <c r="L285" s="27">
        <v>28.228468540562165</v>
      </c>
      <c r="M285" s="27">
        <v>29.432943294329437</v>
      </c>
      <c r="N285" s="27">
        <v>30.426085217043408</v>
      </c>
      <c r="O285" s="27">
        <v>31.833183318331837</v>
      </c>
    </row>
    <row r="286" spans="1:15" x14ac:dyDescent="0.25">
      <c r="A286" s="2">
        <v>282</v>
      </c>
      <c r="B286" s="27">
        <v>18.745623687106129</v>
      </c>
      <c r="C286" s="27">
        <v>20.004000800160032</v>
      </c>
      <c r="D286" s="27">
        <v>20.65826330532213</v>
      </c>
      <c r="E286" s="27">
        <v>21.296388916674999</v>
      </c>
      <c r="F286" s="27">
        <v>21.934386877375474</v>
      </c>
      <c r="G286" s="27">
        <v>22.574514902980596</v>
      </c>
      <c r="H286" s="27">
        <v>23.152315231523154</v>
      </c>
      <c r="I286" s="27">
        <v>24.332433243324335</v>
      </c>
      <c r="J286" s="27">
        <v>25.19</v>
      </c>
      <c r="K286" s="27">
        <v>26.465293058611721</v>
      </c>
      <c r="L286" s="27">
        <v>28.088426527958383</v>
      </c>
      <c r="M286" s="27">
        <v>29.28292829282929</v>
      </c>
      <c r="N286" s="27">
        <v>30.276055211042205</v>
      </c>
      <c r="O286" s="27">
        <v>31.683168316831686</v>
      </c>
    </row>
    <row r="287" spans="1:15" x14ac:dyDescent="0.25">
      <c r="A287" s="2">
        <v>283</v>
      </c>
      <c r="B287" s="27">
        <v>18.635590677203158</v>
      </c>
      <c r="C287" s="27">
        <v>19.903980796159228</v>
      </c>
      <c r="D287" s="27">
        <v>20.528211284513809</v>
      </c>
      <c r="E287" s="27">
        <v>21.16634990497149</v>
      </c>
      <c r="F287" s="27">
        <v>21.824364872974595</v>
      </c>
      <c r="G287" s="27">
        <v>22.444488897779557</v>
      </c>
      <c r="H287" s="27">
        <v>23.012301230123018</v>
      </c>
      <c r="I287" s="27">
        <v>24.182418241824184</v>
      </c>
      <c r="J287" s="27">
        <v>25.07</v>
      </c>
      <c r="K287" s="27">
        <v>26.3252650530106</v>
      </c>
      <c r="L287" s="27">
        <v>27.938381514454335</v>
      </c>
      <c r="M287" s="27">
        <v>29.122912291229127</v>
      </c>
      <c r="N287" s="27">
        <v>30.126025205041007</v>
      </c>
      <c r="O287" s="27">
        <v>31.533153315331539</v>
      </c>
    </row>
    <row r="288" spans="1:15" x14ac:dyDescent="0.25">
      <c r="A288" s="2">
        <v>284</v>
      </c>
      <c r="B288" s="27">
        <v>18.535560668200461</v>
      </c>
      <c r="C288" s="27">
        <v>19.803960792158431</v>
      </c>
      <c r="D288" s="27">
        <v>20.408163265306126</v>
      </c>
      <c r="E288" s="27">
        <v>21.046313894168247</v>
      </c>
      <c r="F288" s="27">
        <v>21.704340868173635</v>
      </c>
      <c r="G288" s="27">
        <v>22.304460892178437</v>
      </c>
      <c r="H288" s="27">
        <v>22.872287228722875</v>
      </c>
      <c r="I288" s="27">
        <v>24.052405240524056</v>
      </c>
      <c r="J288" s="27">
        <v>24.94</v>
      </c>
      <c r="K288" s="27">
        <v>26.18523704740948</v>
      </c>
      <c r="L288" s="27">
        <v>27.788336500950283</v>
      </c>
      <c r="M288" s="27">
        <v>28.982898289828988</v>
      </c>
      <c r="N288" s="27">
        <v>29.975995199039804</v>
      </c>
      <c r="O288" s="27">
        <v>31.37313731373138</v>
      </c>
    </row>
    <row r="289" spans="1:15" x14ac:dyDescent="0.25">
      <c r="A289" s="2">
        <v>285</v>
      </c>
      <c r="B289" s="27">
        <v>18.42552765829749</v>
      </c>
      <c r="C289" s="27">
        <v>19.693938787757553</v>
      </c>
      <c r="D289" s="27">
        <v>20.298119247699081</v>
      </c>
      <c r="E289" s="27">
        <v>20.92627788336501</v>
      </c>
      <c r="F289" s="27">
        <v>21.574314862972592</v>
      </c>
      <c r="G289" s="27">
        <v>22.174434886977398</v>
      </c>
      <c r="H289" s="27">
        <v>22.732273227322736</v>
      </c>
      <c r="I289" s="27">
        <v>23.922392239223928</v>
      </c>
      <c r="J289" s="27">
        <v>24.81</v>
      </c>
      <c r="K289" s="27">
        <v>26.055211042208441</v>
      </c>
      <c r="L289" s="27">
        <v>27.648294488346504</v>
      </c>
      <c r="M289" s="27">
        <v>28.842884288428845</v>
      </c>
      <c r="N289" s="27">
        <v>29.815963192638524</v>
      </c>
      <c r="O289" s="27">
        <v>31.223122312231226</v>
      </c>
    </row>
    <row r="290" spans="1:15" x14ac:dyDescent="0.25">
      <c r="A290" s="2">
        <v>286</v>
      </c>
      <c r="B290" s="27">
        <v>18.325497649294789</v>
      </c>
      <c r="C290" s="27">
        <v>19.583916783356671</v>
      </c>
      <c r="D290" s="27">
        <v>20.188075230092039</v>
      </c>
      <c r="E290" s="27">
        <v>20.806241872561767</v>
      </c>
      <c r="F290" s="27">
        <v>21.464292858571714</v>
      </c>
      <c r="G290" s="27">
        <v>22.064412882576512</v>
      </c>
      <c r="H290" s="27">
        <v>22.602260226022608</v>
      </c>
      <c r="I290" s="27">
        <v>23.792379237923797</v>
      </c>
      <c r="J290" s="27">
        <v>24.68</v>
      </c>
      <c r="K290" s="27">
        <v>25.925185037007402</v>
      </c>
      <c r="L290" s="27">
        <v>27.498249474842449</v>
      </c>
      <c r="M290" s="27">
        <v>28.702870287028706</v>
      </c>
      <c r="N290" s="27">
        <v>29.665933186637325</v>
      </c>
      <c r="O290" s="27">
        <v>31.093109310931098</v>
      </c>
    </row>
    <row r="291" spans="1:15" x14ac:dyDescent="0.25">
      <c r="A291" s="2">
        <v>287</v>
      </c>
      <c r="B291" s="27">
        <v>18.215464639391818</v>
      </c>
      <c r="C291" s="27">
        <v>19.473894778955788</v>
      </c>
      <c r="D291" s="27">
        <v>20.078031212484998</v>
      </c>
      <c r="E291" s="27">
        <v>20.696208862658796</v>
      </c>
      <c r="F291" s="27">
        <v>21.344268853770753</v>
      </c>
      <c r="G291" s="27">
        <v>21.944388877775555</v>
      </c>
      <c r="H291" s="27">
        <v>22.482248224822484</v>
      </c>
      <c r="I291" s="27">
        <v>23.662366236623665</v>
      </c>
      <c r="J291" s="27">
        <v>24.55</v>
      </c>
      <c r="K291" s="27">
        <v>25.805161032206442</v>
      </c>
      <c r="L291" s="27">
        <v>27.358207462238671</v>
      </c>
      <c r="M291" s="27">
        <v>28.562856285628566</v>
      </c>
      <c r="N291" s="27">
        <v>29.535907181436286</v>
      </c>
      <c r="O291" s="27">
        <v>30.96309630963097</v>
      </c>
    </row>
    <row r="292" spans="1:15" x14ac:dyDescent="0.25">
      <c r="A292" s="2">
        <v>288</v>
      </c>
      <c r="B292" s="27">
        <v>18.095428628588575</v>
      </c>
      <c r="C292" s="27">
        <v>19.353870774154831</v>
      </c>
      <c r="D292" s="27">
        <v>19.967987194877956</v>
      </c>
      <c r="E292" s="27">
        <v>20.586175852755822</v>
      </c>
      <c r="F292" s="27">
        <v>21.204240848169633</v>
      </c>
      <c r="G292" s="27">
        <v>21.824364872974595</v>
      </c>
      <c r="H292" s="27">
        <v>22.362236223622364</v>
      </c>
      <c r="I292" s="27">
        <v>23.532353235323537</v>
      </c>
      <c r="J292" s="27">
        <v>24.41</v>
      </c>
      <c r="K292" s="27">
        <v>25.65513102620524</v>
      </c>
      <c r="L292" s="27">
        <v>27.238171451435431</v>
      </c>
      <c r="M292" s="27">
        <v>28.422842284228427</v>
      </c>
      <c r="N292" s="27">
        <v>29.375875175035006</v>
      </c>
      <c r="O292" s="27">
        <v>30.833083308330835</v>
      </c>
    </row>
    <row r="293" spans="1:15" x14ac:dyDescent="0.25">
      <c r="A293" s="2">
        <v>289</v>
      </c>
      <c r="B293" s="27">
        <v>17.985395618685605</v>
      </c>
      <c r="C293" s="27">
        <v>19.233846769353871</v>
      </c>
      <c r="D293" s="27">
        <v>19.84793917567027</v>
      </c>
      <c r="E293" s="27">
        <v>20.466139841952586</v>
      </c>
      <c r="F293" s="27">
        <v>21.064212842568512</v>
      </c>
      <c r="G293" s="27">
        <v>21.704340868173635</v>
      </c>
      <c r="H293" s="27">
        <v>22.232223222322236</v>
      </c>
      <c r="I293" s="27">
        <v>23.412341234123417</v>
      </c>
      <c r="J293" s="27">
        <v>24.28</v>
      </c>
      <c r="K293" s="27">
        <v>25.495099019803959</v>
      </c>
      <c r="L293" s="27">
        <v>27.098129438831648</v>
      </c>
      <c r="M293" s="27">
        <v>28.272827282728276</v>
      </c>
      <c r="N293" s="27">
        <v>29.225845169033803</v>
      </c>
      <c r="O293" s="27">
        <v>30.683068306830688</v>
      </c>
    </row>
    <row r="294" spans="1:15" x14ac:dyDescent="0.25">
      <c r="A294" s="2">
        <v>290</v>
      </c>
      <c r="B294" s="27">
        <v>17.865359607882365</v>
      </c>
      <c r="C294" s="27">
        <v>19.113822764552911</v>
      </c>
      <c r="D294" s="27">
        <v>19.727891156462587</v>
      </c>
      <c r="E294" s="27">
        <v>20.346103831149343</v>
      </c>
      <c r="F294" s="27">
        <v>20.954190838167634</v>
      </c>
      <c r="G294" s="27">
        <v>21.574314862972592</v>
      </c>
      <c r="H294" s="27">
        <v>22.112211221122116</v>
      </c>
      <c r="I294" s="27">
        <v>23.272327232723274</v>
      </c>
      <c r="J294" s="27">
        <v>24.15</v>
      </c>
      <c r="K294" s="27">
        <v>25.36507301460292</v>
      </c>
      <c r="L294" s="27">
        <v>26.958087426227866</v>
      </c>
      <c r="M294" s="27">
        <v>28.122812281228128</v>
      </c>
      <c r="N294" s="27">
        <v>29.095819163832765</v>
      </c>
      <c r="O294" s="27">
        <v>30.53305330533054</v>
      </c>
    </row>
    <row r="295" spans="1:15" x14ac:dyDescent="0.25">
      <c r="A295" s="2">
        <v>291</v>
      </c>
      <c r="B295" s="27">
        <v>17.745323597079121</v>
      </c>
      <c r="C295" s="27">
        <v>19.01380276055211</v>
      </c>
      <c r="D295" s="27">
        <v>19.617847138855545</v>
      </c>
      <c r="E295" s="27">
        <v>20.226067820346103</v>
      </c>
      <c r="F295" s="27">
        <v>20.844168833766751</v>
      </c>
      <c r="G295" s="27">
        <v>21.444288857771554</v>
      </c>
      <c r="H295" s="27">
        <v>22.002200220022004</v>
      </c>
      <c r="I295" s="27">
        <v>23.152315231523154</v>
      </c>
      <c r="J295" s="27">
        <v>24.01</v>
      </c>
      <c r="K295" s="27">
        <v>25.235047009401878</v>
      </c>
      <c r="L295" s="27">
        <v>26.808042412723815</v>
      </c>
      <c r="M295" s="27">
        <v>27.982798279827986</v>
      </c>
      <c r="N295" s="27">
        <v>28.975795159031804</v>
      </c>
      <c r="O295" s="27">
        <v>30.413041304130417</v>
      </c>
    </row>
    <row r="296" spans="1:15" x14ac:dyDescent="0.25">
      <c r="A296" s="2">
        <v>292</v>
      </c>
      <c r="B296" s="27">
        <v>17.635290587176151</v>
      </c>
      <c r="C296" s="27">
        <v>18.91378275655131</v>
      </c>
      <c r="D296" s="27">
        <v>19.507803121248504</v>
      </c>
      <c r="E296" s="27">
        <v>20.126037811343402</v>
      </c>
      <c r="F296" s="27">
        <v>20.744148829765951</v>
      </c>
      <c r="G296" s="27">
        <v>21.314262852570511</v>
      </c>
      <c r="H296" s="27">
        <v>21.882188218821884</v>
      </c>
      <c r="I296" s="27">
        <v>23.042304230423046</v>
      </c>
      <c r="J296" s="27">
        <v>23.87</v>
      </c>
      <c r="K296" s="27">
        <v>25.105021004200839</v>
      </c>
      <c r="L296" s="27">
        <v>26.678003401020305</v>
      </c>
      <c r="M296" s="27">
        <v>27.852785278527858</v>
      </c>
      <c r="N296" s="27">
        <v>28.845769153830766</v>
      </c>
      <c r="O296" s="27">
        <v>30.283028302830289</v>
      </c>
    </row>
    <row r="297" spans="1:15" x14ac:dyDescent="0.25">
      <c r="A297" s="2">
        <v>293</v>
      </c>
      <c r="B297" s="27">
        <v>17.52525757727318</v>
      </c>
      <c r="C297" s="27">
        <v>18.793758751750349</v>
      </c>
      <c r="D297" s="27">
        <v>19.387755102040817</v>
      </c>
      <c r="E297" s="27">
        <v>20.016004801440431</v>
      </c>
      <c r="F297" s="27">
        <v>20.634126825365072</v>
      </c>
      <c r="G297" s="27">
        <v>21.194238847769554</v>
      </c>
      <c r="H297" s="27">
        <v>21.762176217621768</v>
      </c>
      <c r="I297" s="27">
        <v>22.922292229222926</v>
      </c>
      <c r="J297" s="27">
        <v>23.74</v>
      </c>
      <c r="K297" s="27">
        <v>24.974994998999797</v>
      </c>
      <c r="L297" s="27">
        <v>26.537961388416523</v>
      </c>
      <c r="M297" s="27">
        <v>27.722772277227726</v>
      </c>
      <c r="N297" s="27">
        <v>28.695739147829567</v>
      </c>
      <c r="O297" s="27">
        <v>30.133013301330138</v>
      </c>
    </row>
    <row r="298" spans="1:15" x14ac:dyDescent="0.25">
      <c r="A298" s="2">
        <v>294</v>
      </c>
      <c r="B298" s="27">
        <v>17.425227568270483</v>
      </c>
      <c r="C298" s="27">
        <v>18.673734746949389</v>
      </c>
      <c r="D298" s="27">
        <v>19.287715086034417</v>
      </c>
      <c r="E298" s="27">
        <v>19.895968790637191</v>
      </c>
      <c r="F298" s="27">
        <v>20.534106821364272</v>
      </c>
      <c r="G298" s="27">
        <v>21.084216843368672</v>
      </c>
      <c r="H298" s="27">
        <v>21.642164216421644</v>
      </c>
      <c r="I298" s="27">
        <v>22.802280228022806</v>
      </c>
      <c r="J298" s="27">
        <v>23.62</v>
      </c>
      <c r="K298" s="27">
        <v>24.844968993798759</v>
      </c>
      <c r="L298" s="27">
        <v>26.40792237671301</v>
      </c>
      <c r="M298" s="27">
        <v>27.592759275927598</v>
      </c>
      <c r="N298" s="27">
        <v>28.555711142228446</v>
      </c>
      <c r="O298" s="27">
        <v>29.972997299729975</v>
      </c>
    </row>
    <row r="299" spans="1:15" x14ac:dyDescent="0.25">
      <c r="A299" s="2">
        <v>295</v>
      </c>
      <c r="B299" s="27">
        <v>17.325197559267778</v>
      </c>
      <c r="C299" s="27">
        <v>18.563712742548507</v>
      </c>
      <c r="D299" s="27">
        <v>19.187675070028014</v>
      </c>
      <c r="E299" s="27">
        <v>19.775932779833948</v>
      </c>
      <c r="F299" s="27">
        <v>20.40408081616323</v>
      </c>
      <c r="G299" s="27">
        <v>20.964192838567712</v>
      </c>
      <c r="H299" s="27">
        <v>21.532153215321536</v>
      </c>
      <c r="I299" s="27">
        <v>22.682268226822686</v>
      </c>
      <c r="J299" s="27">
        <v>23.5</v>
      </c>
      <c r="K299" s="27">
        <v>24.724944988997798</v>
      </c>
      <c r="L299" s="27">
        <v>26.277883365009501</v>
      </c>
      <c r="M299" s="27">
        <v>27.462746274627467</v>
      </c>
      <c r="N299" s="27">
        <v>28.425685137027404</v>
      </c>
      <c r="O299" s="27">
        <v>29.822982298229828</v>
      </c>
    </row>
    <row r="300" spans="1:15" x14ac:dyDescent="0.25">
      <c r="A300" s="2">
        <v>296</v>
      </c>
      <c r="B300" s="27">
        <v>17.225167550265077</v>
      </c>
      <c r="C300" s="27">
        <v>18.473694738947788</v>
      </c>
      <c r="D300" s="27">
        <v>19.077631052420973</v>
      </c>
      <c r="E300" s="27">
        <v>19.665899769930977</v>
      </c>
      <c r="F300" s="27">
        <v>20.274054810962191</v>
      </c>
      <c r="G300" s="27">
        <v>20.844168833766751</v>
      </c>
      <c r="H300" s="27">
        <v>21.402140214021404</v>
      </c>
      <c r="I300" s="27">
        <v>22.542254225422546</v>
      </c>
      <c r="J300" s="27">
        <v>23.39</v>
      </c>
      <c r="K300" s="27">
        <v>24.594918983796759</v>
      </c>
      <c r="L300" s="27">
        <v>26.157847354206258</v>
      </c>
      <c r="M300" s="27">
        <v>27.312731273127316</v>
      </c>
      <c r="N300" s="27">
        <v>28.295659131826362</v>
      </c>
      <c r="O300" s="27">
        <v>29.682968296829685</v>
      </c>
    </row>
    <row r="301" spans="1:15" x14ac:dyDescent="0.25">
      <c r="A301" s="2">
        <v>297</v>
      </c>
      <c r="B301" s="27">
        <v>17.135140542162645</v>
      </c>
      <c r="C301" s="27">
        <v>18.383676735347066</v>
      </c>
      <c r="D301" s="27">
        <v>18.967587034813928</v>
      </c>
      <c r="E301" s="27">
        <v>19.565869760928276</v>
      </c>
      <c r="F301" s="27">
        <v>20.154030806161231</v>
      </c>
      <c r="G301" s="27">
        <v>20.724144828965791</v>
      </c>
      <c r="H301" s="27">
        <v>21.272127212721276</v>
      </c>
      <c r="I301" s="27">
        <v>22.412241224122415</v>
      </c>
      <c r="J301" s="27">
        <v>23.26</v>
      </c>
      <c r="K301" s="27">
        <v>24.454890978195639</v>
      </c>
      <c r="L301" s="27">
        <v>26.027808342502748</v>
      </c>
      <c r="M301" s="27">
        <v>27.17271727172718</v>
      </c>
      <c r="N301" s="27">
        <v>28.165633126625323</v>
      </c>
      <c r="O301" s="27">
        <v>29.542954295429546</v>
      </c>
    </row>
    <row r="302" spans="1:15" x14ac:dyDescent="0.25">
      <c r="A302" s="2">
        <v>298</v>
      </c>
      <c r="B302" s="27">
        <v>17.035110533159948</v>
      </c>
      <c r="C302" s="27">
        <v>18.283656731346269</v>
      </c>
      <c r="D302" s="27">
        <v>18.847539015606245</v>
      </c>
      <c r="E302" s="27">
        <v>19.455836751025306</v>
      </c>
      <c r="F302" s="27">
        <v>20.044008801760349</v>
      </c>
      <c r="G302" s="27">
        <v>20.604120824164834</v>
      </c>
      <c r="H302" s="27">
        <v>21.162116211621164</v>
      </c>
      <c r="I302" s="27">
        <v>22.292229222922295</v>
      </c>
      <c r="J302" s="27">
        <v>23.12</v>
      </c>
      <c r="K302" s="27">
        <v>24.314862972594515</v>
      </c>
      <c r="L302" s="27">
        <v>25.897769330799239</v>
      </c>
      <c r="M302" s="27">
        <v>27.042704270427045</v>
      </c>
      <c r="N302" s="27">
        <v>28.025605121024203</v>
      </c>
      <c r="O302" s="27">
        <v>29.412941294129418</v>
      </c>
    </row>
    <row r="303" spans="1:15" x14ac:dyDescent="0.25">
      <c r="A303" s="2">
        <v>299</v>
      </c>
      <c r="B303" s="27">
        <v>16.945083525057516</v>
      </c>
      <c r="C303" s="27">
        <v>18.163632726545309</v>
      </c>
      <c r="D303" s="27">
        <v>18.737494997999203</v>
      </c>
      <c r="E303" s="27">
        <v>19.335800740222062</v>
      </c>
      <c r="F303" s="27">
        <v>19.923984796959392</v>
      </c>
      <c r="G303" s="27">
        <v>20.484096819363874</v>
      </c>
      <c r="H303" s="27">
        <v>21.042104210421044</v>
      </c>
      <c r="I303" s="27">
        <v>22.162216221622167</v>
      </c>
      <c r="J303" s="27">
        <v>22.99</v>
      </c>
      <c r="K303" s="27">
        <v>24.194838967793558</v>
      </c>
      <c r="L303" s="27">
        <v>25.757727318195457</v>
      </c>
      <c r="M303" s="27">
        <v>26.922692269226928</v>
      </c>
      <c r="N303" s="27">
        <v>27.875575115023004</v>
      </c>
      <c r="O303" s="27">
        <v>29.28292829282929</v>
      </c>
    </row>
    <row r="304" spans="1:15" x14ac:dyDescent="0.25">
      <c r="A304" s="2">
        <v>300</v>
      </c>
      <c r="B304" s="27">
        <v>16.845053516054815</v>
      </c>
      <c r="C304" s="27">
        <v>18.063612722544505</v>
      </c>
      <c r="D304" s="27">
        <v>18.6374549819928</v>
      </c>
      <c r="E304" s="27">
        <v>19.235770731219365</v>
      </c>
      <c r="F304" s="27">
        <v>19.793958791758349</v>
      </c>
      <c r="G304" s="27">
        <v>20.374074814962992</v>
      </c>
      <c r="H304" s="27">
        <v>20.922092209220928</v>
      </c>
      <c r="I304" s="27">
        <v>22.042204220422043</v>
      </c>
      <c r="J304" s="27">
        <v>22.88</v>
      </c>
      <c r="K304" s="27">
        <v>24.064812962592516</v>
      </c>
      <c r="L304" s="27">
        <v>25.617685305591674</v>
      </c>
      <c r="M304" s="27">
        <v>26.782678267826789</v>
      </c>
      <c r="N304" s="27">
        <v>27.735547109421884</v>
      </c>
      <c r="O304" s="27">
        <v>29.152915291529155</v>
      </c>
    </row>
    <row r="305" spans="1:15" x14ac:dyDescent="0.25">
      <c r="A305" s="2">
        <v>301</v>
      </c>
      <c r="B305" s="27">
        <v>16.745023507052114</v>
      </c>
      <c r="C305" s="27">
        <v>17.953590718143627</v>
      </c>
      <c r="D305" s="27">
        <v>18.5374149659864</v>
      </c>
      <c r="E305" s="27">
        <v>19.125737721316394</v>
      </c>
      <c r="F305" s="27">
        <v>19.683936787357471</v>
      </c>
      <c r="G305" s="27">
        <v>20.254050810162031</v>
      </c>
      <c r="H305" s="27">
        <v>20.812081208120812</v>
      </c>
      <c r="I305" s="27">
        <v>21.922192219221927</v>
      </c>
      <c r="J305" s="27">
        <v>22.77</v>
      </c>
      <c r="K305" s="27">
        <v>23.934786957391477</v>
      </c>
      <c r="L305" s="27">
        <v>25.487646293888165</v>
      </c>
      <c r="M305" s="27">
        <v>26.652665266526654</v>
      </c>
      <c r="N305" s="27">
        <v>27.595519103820763</v>
      </c>
      <c r="O305" s="27">
        <v>29.022902290229027</v>
      </c>
    </row>
    <row r="306" spans="1:15" x14ac:dyDescent="0.25">
      <c r="A306" s="2">
        <v>302</v>
      </c>
      <c r="B306" s="27">
        <v>16.644993498049413</v>
      </c>
      <c r="C306" s="27">
        <v>17.843568713742748</v>
      </c>
      <c r="D306" s="27">
        <v>18.417366946778714</v>
      </c>
      <c r="E306" s="27">
        <v>19.025707712313693</v>
      </c>
      <c r="F306" s="27">
        <v>19.573914782956592</v>
      </c>
      <c r="G306" s="27">
        <v>20.144028805761153</v>
      </c>
      <c r="H306" s="27">
        <v>20.702070207020704</v>
      </c>
      <c r="I306" s="27">
        <v>21.812181218121815</v>
      </c>
      <c r="J306" s="27">
        <v>22.65</v>
      </c>
      <c r="K306" s="27">
        <v>23.804760952190438</v>
      </c>
      <c r="L306" s="27">
        <v>25.367610283084922</v>
      </c>
      <c r="M306" s="27">
        <v>26.532653265326537</v>
      </c>
      <c r="N306" s="27">
        <v>27.465493098619724</v>
      </c>
      <c r="O306" s="27">
        <v>28.892889288928899</v>
      </c>
    </row>
    <row r="307" spans="1:15" x14ac:dyDescent="0.25">
      <c r="A307" s="2">
        <v>303</v>
      </c>
      <c r="B307" s="27">
        <v>16.534960488146442</v>
      </c>
      <c r="C307" s="27">
        <v>17.733546709341869</v>
      </c>
      <c r="D307" s="27">
        <v>18.307322929171672</v>
      </c>
      <c r="E307" s="27">
        <v>18.915674702410723</v>
      </c>
      <c r="F307" s="27">
        <v>19.473894778955788</v>
      </c>
      <c r="G307" s="27">
        <v>20.024004800960192</v>
      </c>
      <c r="H307" s="27">
        <v>20.592059205920595</v>
      </c>
      <c r="I307" s="27">
        <v>21.692169216921698</v>
      </c>
      <c r="J307" s="27">
        <v>22.53</v>
      </c>
      <c r="K307" s="27">
        <v>23.684736947389478</v>
      </c>
      <c r="L307" s="27">
        <v>25.247574272281682</v>
      </c>
      <c r="M307" s="27">
        <v>26.412641264126417</v>
      </c>
      <c r="N307" s="27">
        <v>27.335467093418682</v>
      </c>
      <c r="O307" s="27">
        <v>28.752875287528756</v>
      </c>
    </row>
    <row r="308" spans="1:15" x14ac:dyDescent="0.25">
      <c r="A308" s="2">
        <v>304</v>
      </c>
      <c r="B308" s="27">
        <v>16.424927478243475</v>
      </c>
      <c r="C308" s="27">
        <v>17.643528705741147</v>
      </c>
      <c r="D308" s="27">
        <v>18.217286914765911</v>
      </c>
      <c r="E308" s="27">
        <v>18.805641692507752</v>
      </c>
      <c r="F308" s="27">
        <v>19.373874774954992</v>
      </c>
      <c r="G308" s="27">
        <v>19.91398279655931</v>
      </c>
      <c r="H308" s="27">
        <v>20.472047204720475</v>
      </c>
      <c r="I308" s="27">
        <v>21.572157215721575</v>
      </c>
      <c r="J308" s="27">
        <v>22.4</v>
      </c>
      <c r="K308" s="27">
        <v>23.574714942988596</v>
      </c>
      <c r="L308" s="27">
        <v>25.117535260578173</v>
      </c>
      <c r="M308" s="27">
        <v>26.282628262826286</v>
      </c>
      <c r="N308" s="27">
        <v>27.215443088617722</v>
      </c>
      <c r="O308" s="27">
        <v>28.612861286128616</v>
      </c>
    </row>
    <row r="309" spans="1:15" x14ac:dyDescent="0.25">
      <c r="A309" s="2">
        <v>305</v>
      </c>
      <c r="B309" s="27">
        <v>16.314894468340501</v>
      </c>
      <c r="C309" s="27">
        <v>17.543508701740347</v>
      </c>
      <c r="D309" s="27">
        <v>18.117246898759507</v>
      </c>
      <c r="E309" s="27">
        <v>18.695608682604782</v>
      </c>
      <c r="F309" s="27">
        <v>19.263852770554113</v>
      </c>
      <c r="G309" s="27">
        <v>19.81396279255851</v>
      </c>
      <c r="H309" s="27">
        <v>20.362036203620363</v>
      </c>
      <c r="I309" s="27">
        <v>21.452145214521455</v>
      </c>
      <c r="J309" s="27">
        <v>22.29</v>
      </c>
      <c r="K309" s="27">
        <v>23.444688937787557</v>
      </c>
      <c r="L309" s="27">
        <v>24.98749624887466</v>
      </c>
      <c r="M309" s="27">
        <v>26.142614261426147</v>
      </c>
      <c r="N309" s="27">
        <v>27.085417083416679</v>
      </c>
      <c r="O309" s="27">
        <v>28.482848284828489</v>
      </c>
    </row>
    <row r="310" spans="1:15" x14ac:dyDescent="0.25">
      <c r="A310" s="2">
        <v>306</v>
      </c>
      <c r="B310" s="27">
        <v>16.2148644593378</v>
      </c>
      <c r="C310" s="27">
        <v>17.44348869773955</v>
      </c>
      <c r="D310" s="27">
        <v>18.017206882753104</v>
      </c>
      <c r="E310" s="27">
        <v>18.585575672701808</v>
      </c>
      <c r="F310" s="27">
        <v>19.153830766153227</v>
      </c>
      <c r="G310" s="27">
        <v>19.703940788157631</v>
      </c>
      <c r="H310" s="27">
        <v>20.242024202420243</v>
      </c>
      <c r="I310" s="27">
        <v>21.352135213521358</v>
      </c>
      <c r="J310" s="27">
        <v>22.17</v>
      </c>
      <c r="K310" s="27">
        <v>23.314662932586515</v>
      </c>
      <c r="L310" s="27">
        <v>24.85745723717115</v>
      </c>
      <c r="M310" s="27">
        <v>26.002600260026007</v>
      </c>
      <c r="N310" s="27">
        <v>26.965393078615723</v>
      </c>
      <c r="O310" s="27">
        <v>28.342834283428346</v>
      </c>
    </row>
    <row r="311" spans="1:15" x14ac:dyDescent="0.25">
      <c r="A311" s="2">
        <v>307</v>
      </c>
      <c r="B311" s="27">
        <v>16.114834450335099</v>
      </c>
      <c r="C311" s="27">
        <v>17.343468693738746</v>
      </c>
      <c r="D311" s="27">
        <v>17.917166866746701</v>
      </c>
      <c r="E311" s="27">
        <v>18.48554566369911</v>
      </c>
      <c r="F311" s="27">
        <v>19.043808761752349</v>
      </c>
      <c r="G311" s="27">
        <v>19.593918783756749</v>
      </c>
      <c r="H311" s="27">
        <v>20.142014201420146</v>
      </c>
      <c r="I311" s="27">
        <v>21.232123212321234</v>
      </c>
      <c r="J311" s="27">
        <v>22.05</v>
      </c>
      <c r="K311" s="27">
        <v>23.184636927385476</v>
      </c>
      <c r="L311" s="27">
        <v>24.737421226367911</v>
      </c>
      <c r="M311" s="27">
        <v>25.872587258725876</v>
      </c>
      <c r="N311" s="27">
        <v>26.845369073814762</v>
      </c>
      <c r="O311" s="27">
        <v>28.202820282028206</v>
      </c>
    </row>
    <row r="312" spans="1:15" x14ac:dyDescent="0.25">
      <c r="A312" s="2">
        <v>308</v>
      </c>
      <c r="B312" s="27">
        <v>16.024807442232667</v>
      </c>
      <c r="C312" s="27">
        <v>17.233446689337867</v>
      </c>
      <c r="D312" s="27">
        <v>17.817126850740298</v>
      </c>
      <c r="E312" s="27">
        <v>18.385515654696405</v>
      </c>
      <c r="F312" s="27">
        <v>18.943788757751552</v>
      </c>
      <c r="G312" s="27">
        <v>19.493898779755948</v>
      </c>
      <c r="H312" s="27">
        <v>20.032003200320037</v>
      </c>
      <c r="I312" s="27">
        <v>21.112111211121114</v>
      </c>
      <c r="J312" s="27">
        <v>21.93</v>
      </c>
      <c r="K312" s="27">
        <v>23.074614922984598</v>
      </c>
      <c r="L312" s="27">
        <v>24.607382214664398</v>
      </c>
      <c r="M312" s="27">
        <v>25.742574257425744</v>
      </c>
      <c r="N312" s="27">
        <v>26.725345069013802</v>
      </c>
      <c r="O312" s="27">
        <v>28.072807280728078</v>
      </c>
    </row>
    <row r="313" spans="1:15" x14ac:dyDescent="0.25">
      <c r="A313" s="2">
        <v>309</v>
      </c>
      <c r="B313" s="27">
        <v>15.924777433229968</v>
      </c>
      <c r="C313" s="27">
        <v>17.143428685737149</v>
      </c>
      <c r="D313" s="27">
        <v>17.717086834733898</v>
      </c>
      <c r="E313" s="27">
        <v>18.275482644793435</v>
      </c>
      <c r="F313" s="27">
        <v>18.843768753750748</v>
      </c>
      <c r="G313" s="27">
        <v>19.38387677535507</v>
      </c>
      <c r="H313" s="27">
        <v>19.921992199219925</v>
      </c>
      <c r="I313" s="27">
        <v>20.992099209920994</v>
      </c>
      <c r="J313" s="27">
        <v>21.82</v>
      </c>
      <c r="K313" s="27">
        <v>22.964592918583715</v>
      </c>
      <c r="L313" s="27">
        <v>24.487346203861158</v>
      </c>
      <c r="M313" s="27">
        <v>25.622562256225628</v>
      </c>
      <c r="N313" s="27">
        <v>26.585317063412681</v>
      </c>
      <c r="O313" s="27">
        <v>27.952795279527955</v>
      </c>
    </row>
    <row r="314" spans="1:15" x14ac:dyDescent="0.25">
      <c r="A314" s="2">
        <v>310</v>
      </c>
      <c r="B314" s="27">
        <v>15.844753426027808</v>
      </c>
      <c r="C314" s="27">
        <v>17.053410682136427</v>
      </c>
      <c r="D314" s="27">
        <v>17.617046818727495</v>
      </c>
      <c r="E314" s="27">
        <v>18.175452635790737</v>
      </c>
      <c r="F314" s="27">
        <v>18.733746749349869</v>
      </c>
      <c r="G314" s="27">
        <v>19.283856771354269</v>
      </c>
      <c r="H314" s="27">
        <v>19.811981198119813</v>
      </c>
      <c r="I314" s="27">
        <v>20.882088208820885</v>
      </c>
      <c r="J314" s="27">
        <v>21.71</v>
      </c>
      <c r="K314" s="27">
        <v>22.854570914182837</v>
      </c>
      <c r="L314" s="27">
        <v>24.357307192157649</v>
      </c>
      <c r="M314" s="27">
        <v>25.502550255025508</v>
      </c>
      <c r="N314" s="27">
        <v>26.455291058211639</v>
      </c>
      <c r="O314" s="27">
        <v>27.822782278227827</v>
      </c>
    </row>
    <row r="315" spans="1:15" x14ac:dyDescent="0.25">
      <c r="A315" s="2">
        <v>311</v>
      </c>
      <c r="B315" s="27">
        <v>15.754726417925376</v>
      </c>
      <c r="C315" s="27">
        <v>16.963392678535708</v>
      </c>
      <c r="D315" s="27">
        <v>17.52701080432173</v>
      </c>
      <c r="E315" s="27">
        <v>18.075422626788036</v>
      </c>
      <c r="F315" s="27">
        <v>18.623724744948991</v>
      </c>
      <c r="G315" s="27">
        <v>19.173834766953391</v>
      </c>
      <c r="H315" s="27">
        <v>19.701970197019705</v>
      </c>
      <c r="I315" s="27">
        <v>20.772077207720773</v>
      </c>
      <c r="J315" s="27">
        <v>21.6</v>
      </c>
      <c r="K315" s="27">
        <v>22.734546909381876</v>
      </c>
      <c r="L315" s="27">
        <v>24.227268180454132</v>
      </c>
      <c r="M315" s="27">
        <v>25.382538253825384</v>
      </c>
      <c r="N315" s="27">
        <v>26.335267053410679</v>
      </c>
      <c r="O315" s="27">
        <v>27.692769276927699</v>
      </c>
    </row>
    <row r="316" spans="1:15" x14ac:dyDescent="0.25">
      <c r="A316" s="2">
        <v>312</v>
      </c>
      <c r="B316" s="27">
        <v>15.664699409822946</v>
      </c>
      <c r="C316" s="27">
        <v>16.853370674134826</v>
      </c>
      <c r="D316" s="27">
        <v>17.436974789915968</v>
      </c>
      <c r="E316" s="27">
        <v>17.965389616885066</v>
      </c>
      <c r="F316" s="27">
        <v>18.513702740548112</v>
      </c>
      <c r="G316" s="27">
        <v>19.063812762552509</v>
      </c>
      <c r="H316" s="27">
        <v>19.581958195819585</v>
      </c>
      <c r="I316" s="27">
        <v>20.672067206720676</v>
      </c>
      <c r="J316" s="27">
        <v>21.48</v>
      </c>
      <c r="K316" s="27">
        <v>22.614522904580916</v>
      </c>
      <c r="L316" s="27">
        <v>24.107232169650896</v>
      </c>
      <c r="M316" s="27">
        <v>25.262526252625268</v>
      </c>
      <c r="N316" s="27">
        <v>26.215243048609722</v>
      </c>
      <c r="O316" s="27">
        <v>27.562756275627564</v>
      </c>
    </row>
    <row r="317" spans="1:15" x14ac:dyDescent="0.25">
      <c r="A317" s="2">
        <v>313</v>
      </c>
      <c r="B317" s="27">
        <v>15.564669400820245</v>
      </c>
      <c r="C317" s="27">
        <v>16.753350670134026</v>
      </c>
      <c r="D317" s="27">
        <v>17.336934773909565</v>
      </c>
      <c r="E317" s="27">
        <v>17.865359607882365</v>
      </c>
      <c r="F317" s="27">
        <v>18.403680736147226</v>
      </c>
      <c r="G317" s="27">
        <v>18.95379075815163</v>
      </c>
      <c r="H317" s="27">
        <v>19.471947194719473</v>
      </c>
      <c r="I317" s="27">
        <v>20.562056205620564</v>
      </c>
      <c r="J317" s="27">
        <v>21.37</v>
      </c>
      <c r="K317" s="27">
        <v>22.514502900580116</v>
      </c>
      <c r="L317" s="27">
        <v>23.987196158847652</v>
      </c>
      <c r="M317" s="27">
        <v>25.132513251325136</v>
      </c>
      <c r="N317" s="27">
        <v>26.075215043008601</v>
      </c>
      <c r="O317" s="27">
        <v>27.432743274327436</v>
      </c>
    </row>
    <row r="318" spans="1:15" x14ac:dyDescent="0.25">
      <c r="A318" s="2">
        <v>314</v>
      </c>
      <c r="B318" s="27">
        <v>15.474642392717815</v>
      </c>
      <c r="C318" s="27">
        <v>16.653330666133225</v>
      </c>
      <c r="D318" s="27">
        <v>17.236894757903165</v>
      </c>
      <c r="E318" s="27">
        <v>17.775332599779933</v>
      </c>
      <c r="F318" s="27">
        <v>18.30366073214643</v>
      </c>
      <c r="G318" s="27">
        <v>18.85377075415083</v>
      </c>
      <c r="H318" s="27">
        <v>19.371937193719376</v>
      </c>
      <c r="I318" s="27">
        <v>20.452045204520456</v>
      </c>
      <c r="J318" s="27">
        <v>21.26</v>
      </c>
      <c r="K318" s="27">
        <v>22.384476895379073</v>
      </c>
      <c r="L318" s="27">
        <v>23.867160148044412</v>
      </c>
      <c r="M318" s="27">
        <v>25.002500250025005</v>
      </c>
      <c r="N318" s="27">
        <v>25.935187037407481</v>
      </c>
      <c r="O318" s="27">
        <v>27.312731273127316</v>
      </c>
    </row>
    <row r="319" spans="1:15" x14ac:dyDescent="0.25">
      <c r="A319" s="2">
        <v>315</v>
      </c>
      <c r="B319" s="27">
        <v>15.374612383715112</v>
      </c>
      <c r="C319" s="27">
        <v>16.553310662132425</v>
      </c>
      <c r="D319" s="27">
        <v>17.126850740296121</v>
      </c>
      <c r="E319" s="27">
        <v>17.675302590777235</v>
      </c>
      <c r="F319" s="27">
        <v>18.203640728145629</v>
      </c>
      <c r="G319" s="27">
        <v>18.753750750150029</v>
      </c>
      <c r="H319" s="27">
        <v>19.261926192619267</v>
      </c>
      <c r="I319" s="27">
        <v>20.332033203320332</v>
      </c>
      <c r="J319" s="27">
        <v>21.15</v>
      </c>
      <c r="K319" s="27">
        <v>22.244448889777953</v>
      </c>
      <c r="L319" s="27">
        <v>23.7371211363409</v>
      </c>
      <c r="M319" s="27">
        <v>24.872487248724877</v>
      </c>
      <c r="N319" s="27">
        <v>25.805161032206442</v>
      </c>
      <c r="O319" s="27">
        <v>27.17271727172718</v>
      </c>
    </row>
    <row r="320" spans="1:15" x14ac:dyDescent="0.25">
      <c r="A320" s="2">
        <v>316</v>
      </c>
      <c r="B320" s="27">
        <v>15.294588376512952</v>
      </c>
      <c r="C320" s="27">
        <v>16.463292658531707</v>
      </c>
      <c r="D320" s="27">
        <v>17.026810724289717</v>
      </c>
      <c r="E320" s="27">
        <v>17.575272581774531</v>
      </c>
      <c r="F320" s="27">
        <v>18.113622724544907</v>
      </c>
      <c r="G320" s="27">
        <v>18.643728745749151</v>
      </c>
      <c r="H320" s="27">
        <v>19.151915191519151</v>
      </c>
      <c r="I320" s="27">
        <v>20.212021202120216</v>
      </c>
      <c r="J320" s="27">
        <v>21.03</v>
      </c>
      <c r="K320" s="27">
        <v>22.114422884576914</v>
      </c>
      <c r="L320" s="27">
        <v>23.61708512553766</v>
      </c>
      <c r="M320" s="27">
        <v>24.752475247524757</v>
      </c>
      <c r="N320" s="27">
        <v>25.675135027005403</v>
      </c>
      <c r="O320" s="27">
        <v>27.032703270327037</v>
      </c>
    </row>
    <row r="321" spans="1:15" x14ac:dyDescent="0.25">
      <c r="A321" s="2">
        <v>317</v>
      </c>
      <c r="B321" s="27">
        <v>15.204561368410522</v>
      </c>
      <c r="C321" s="27">
        <v>16.383276655331066</v>
      </c>
      <c r="D321" s="27">
        <v>16.916766706682676</v>
      </c>
      <c r="E321" s="27">
        <v>17.46523957187156</v>
      </c>
      <c r="F321" s="27">
        <v>18.01360272054411</v>
      </c>
      <c r="G321" s="27">
        <v>18.533706741348269</v>
      </c>
      <c r="H321" s="27">
        <v>19.041904190419043</v>
      </c>
      <c r="I321" s="27">
        <v>20.092009200920096</v>
      </c>
      <c r="J321" s="27">
        <v>20.9</v>
      </c>
      <c r="K321" s="27">
        <v>21.994398879775954</v>
      </c>
      <c r="L321" s="27">
        <v>23.497049114734416</v>
      </c>
      <c r="M321" s="27">
        <v>24.632463246324633</v>
      </c>
      <c r="N321" s="27">
        <v>25.555111022204439</v>
      </c>
      <c r="O321" s="27">
        <v>26.902690269026905</v>
      </c>
    </row>
    <row r="322" spans="1:15" x14ac:dyDescent="0.25">
      <c r="A322" s="2">
        <v>318</v>
      </c>
      <c r="B322" s="27">
        <v>15.124537361208361</v>
      </c>
      <c r="C322" s="27">
        <v>16.283256651330266</v>
      </c>
      <c r="D322" s="27">
        <v>16.816726690676273</v>
      </c>
      <c r="E322" s="27">
        <v>17.34520356106832</v>
      </c>
      <c r="F322" s="27">
        <v>17.903580716143228</v>
      </c>
      <c r="G322" s="27">
        <v>18.42368473694739</v>
      </c>
      <c r="H322" s="27">
        <v>18.941894189418946</v>
      </c>
      <c r="I322" s="27">
        <v>19.981998199819984</v>
      </c>
      <c r="J322" s="27">
        <v>20.79</v>
      </c>
      <c r="K322" s="27">
        <v>21.884376875375072</v>
      </c>
      <c r="L322" s="27">
        <v>23.37701310393118</v>
      </c>
      <c r="M322" s="27">
        <v>24.512451245124517</v>
      </c>
      <c r="N322" s="27">
        <v>25.425085017003401</v>
      </c>
      <c r="O322" s="27">
        <v>26.772677267726777</v>
      </c>
    </row>
    <row r="323" spans="1:15" x14ac:dyDescent="0.25">
      <c r="A323" s="2">
        <v>319</v>
      </c>
      <c r="B323" s="27">
        <v>15.044513354006201</v>
      </c>
      <c r="C323" s="27">
        <v>16.183236647329466</v>
      </c>
      <c r="D323" s="27">
        <v>16.716686674669873</v>
      </c>
      <c r="E323" s="27">
        <v>17.23517055116535</v>
      </c>
      <c r="F323" s="27">
        <v>17.783556711342268</v>
      </c>
      <c r="G323" s="27">
        <v>18.313662732546508</v>
      </c>
      <c r="H323" s="27">
        <v>18.841884188418845</v>
      </c>
      <c r="I323" s="27">
        <v>19.871987198719875</v>
      </c>
      <c r="J323" s="27">
        <v>20.68</v>
      </c>
      <c r="K323" s="27">
        <v>21.774354870974193</v>
      </c>
      <c r="L323" s="27">
        <v>23.256977093127936</v>
      </c>
      <c r="M323" s="27">
        <v>24.382438243824385</v>
      </c>
      <c r="N323" s="27">
        <v>25.295059011802358</v>
      </c>
      <c r="O323" s="27">
        <v>26.642664266426646</v>
      </c>
    </row>
    <row r="324" spans="1:15" x14ac:dyDescent="0.25">
      <c r="A324" s="2">
        <v>320</v>
      </c>
      <c r="B324" s="27">
        <v>14.964489346804042</v>
      </c>
      <c r="C324" s="27">
        <v>16.083216643328662</v>
      </c>
      <c r="D324" s="27">
        <v>16.616646658663466</v>
      </c>
      <c r="E324" s="27">
        <v>17.145143543062918</v>
      </c>
      <c r="F324" s="27">
        <v>17.683536707341467</v>
      </c>
      <c r="G324" s="27">
        <v>18.213642728545707</v>
      </c>
      <c r="H324" s="27">
        <v>18.731873187318733</v>
      </c>
      <c r="I324" s="27">
        <v>19.751975197519755</v>
      </c>
      <c r="J324" s="27">
        <v>20.56</v>
      </c>
      <c r="K324" s="27">
        <v>21.654330866173233</v>
      </c>
      <c r="L324" s="27">
        <v>23.126938081424427</v>
      </c>
      <c r="M324" s="27">
        <v>24.262426242624269</v>
      </c>
      <c r="N324" s="27">
        <v>25.175035007001402</v>
      </c>
      <c r="O324" s="27">
        <v>26.522652265226526</v>
      </c>
    </row>
    <row r="325" spans="1:15" x14ac:dyDescent="0.25">
      <c r="A325" s="2">
        <v>321</v>
      </c>
      <c r="B325" s="27">
        <v>14.88446533960188</v>
      </c>
      <c r="C325" s="27">
        <v>15.993198639727945</v>
      </c>
      <c r="D325" s="27">
        <v>16.526610644257705</v>
      </c>
      <c r="E325" s="27">
        <v>17.055116534960487</v>
      </c>
      <c r="F325" s="27">
        <v>17.593518703740749</v>
      </c>
      <c r="G325" s="27">
        <v>18.113622724544907</v>
      </c>
      <c r="H325" s="27">
        <v>18.621862186218625</v>
      </c>
      <c r="I325" s="27">
        <v>19.651965196519654</v>
      </c>
      <c r="J325" s="27">
        <v>20.45</v>
      </c>
      <c r="K325" s="27">
        <v>21.544308861772354</v>
      </c>
      <c r="L325" s="27">
        <v>23.016905071521457</v>
      </c>
      <c r="M325" s="27">
        <v>24.132413241324134</v>
      </c>
      <c r="N325" s="27">
        <v>25.055011002200441</v>
      </c>
      <c r="O325" s="27">
        <v>26.402640264026406</v>
      </c>
    </row>
    <row r="326" spans="1:15" x14ac:dyDescent="0.25">
      <c r="A326" s="2">
        <v>322</v>
      </c>
      <c r="B326" s="27">
        <v>14.794438331499448</v>
      </c>
      <c r="C326" s="27">
        <v>15.903180636127225</v>
      </c>
      <c r="D326" s="27">
        <v>16.436574629851943</v>
      </c>
      <c r="E326" s="27">
        <v>16.975092527758324</v>
      </c>
      <c r="F326" s="27">
        <v>17.503500700140027</v>
      </c>
      <c r="G326" s="27">
        <v>18.01360272054411</v>
      </c>
      <c r="H326" s="27">
        <v>18.521852185218524</v>
      </c>
      <c r="I326" s="27">
        <v>19.551955195519554</v>
      </c>
      <c r="J326" s="27">
        <v>20.34</v>
      </c>
      <c r="K326" s="27">
        <v>21.434286857371472</v>
      </c>
      <c r="L326" s="27">
        <v>22.896869060718213</v>
      </c>
      <c r="M326" s="27">
        <v>24.002400240024006</v>
      </c>
      <c r="N326" s="27">
        <v>24.934986997399477</v>
      </c>
      <c r="O326" s="27">
        <v>26.292629262926294</v>
      </c>
    </row>
    <row r="327" spans="1:15" x14ac:dyDescent="0.25">
      <c r="A327" s="2">
        <v>323</v>
      </c>
      <c r="B327" s="27">
        <v>14.714414324297289</v>
      </c>
      <c r="C327" s="27">
        <v>15.813162632526504</v>
      </c>
      <c r="D327" s="27">
        <v>16.346538615446182</v>
      </c>
      <c r="E327" s="27">
        <v>16.875062518755627</v>
      </c>
      <c r="F327" s="27">
        <v>17.42348469693939</v>
      </c>
      <c r="G327" s="27">
        <v>17.923584716943388</v>
      </c>
      <c r="H327" s="27">
        <v>18.421842184218427</v>
      </c>
      <c r="I327" s="27">
        <v>19.451945194519453</v>
      </c>
      <c r="J327" s="27">
        <v>20.23</v>
      </c>
      <c r="K327" s="27">
        <v>21.324264852970593</v>
      </c>
      <c r="L327" s="27">
        <v>22.786836050815243</v>
      </c>
      <c r="M327" s="27">
        <v>23.892389238923897</v>
      </c>
      <c r="N327" s="27">
        <v>24.824964992998598</v>
      </c>
      <c r="O327" s="27">
        <v>26.172617261726177</v>
      </c>
    </row>
    <row r="328" spans="1:15" x14ac:dyDescent="0.25">
      <c r="A328" s="2">
        <v>324</v>
      </c>
      <c r="B328" s="27">
        <v>14.614384315294586</v>
      </c>
      <c r="C328" s="27">
        <v>15.713142628525706</v>
      </c>
      <c r="D328" s="27">
        <v>16.25650260104042</v>
      </c>
      <c r="E328" s="27">
        <v>16.775032509752926</v>
      </c>
      <c r="F328" s="27">
        <v>17.323464692938586</v>
      </c>
      <c r="G328" s="27">
        <v>17.833566713342666</v>
      </c>
      <c r="H328" s="27">
        <v>18.331833183318334</v>
      </c>
      <c r="I328" s="27">
        <v>19.341934193419345</v>
      </c>
      <c r="J328" s="27">
        <v>20.12</v>
      </c>
      <c r="K328" s="27">
        <v>21.224244848969793</v>
      </c>
      <c r="L328" s="27">
        <v>22.686806041812542</v>
      </c>
      <c r="M328" s="27">
        <v>23.792379237923797</v>
      </c>
      <c r="N328" s="27">
        <v>24.71494298859772</v>
      </c>
      <c r="O328" s="27">
        <v>26.062606260626065</v>
      </c>
    </row>
    <row r="329" spans="1:15" x14ac:dyDescent="0.25">
      <c r="A329" s="2">
        <v>325</v>
      </c>
      <c r="B329" s="27">
        <v>14.524357307192156</v>
      </c>
      <c r="C329" s="27">
        <v>15.623124624924984</v>
      </c>
      <c r="D329" s="27">
        <v>16.176470588235297</v>
      </c>
      <c r="E329" s="27">
        <v>16.675002500750224</v>
      </c>
      <c r="F329" s="27">
        <v>17.223444688937786</v>
      </c>
      <c r="G329" s="27">
        <v>17.733546709341869</v>
      </c>
      <c r="H329" s="27">
        <v>18.231823182318234</v>
      </c>
      <c r="I329" s="27">
        <v>19.241924192419244</v>
      </c>
      <c r="J329" s="27">
        <v>20.02</v>
      </c>
      <c r="K329" s="27">
        <v>21.114222844568911</v>
      </c>
      <c r="L329" s="27">
        <v>22.566770031009302</v>
      </c>
      <c r="M329" s="27">
        <v>23.672367236723677</v>
      </c>
      <c r="N329" s="27">
        <v>24.594918983796759</v>
      </c>
      <c r="O329" s="27">
        <v>25.942594259425949</v>
      </c>
    </row>
    <row r="330" spans="1:15" x14ac:dyDescent="0.25">
      <c r="A330" s="2">
        <v>326</v>
      </c>
      <c r="B330" s="27">
        <v>14.424327298189455</v>
      </c>
      <c r="C330" s="27">
        <v>15.533106621324263</v>
      </c>
      <c r="D330" s="27">
        <v>16.086434573829532</v>
      </c>
      <c r="E330" s="27">
        <v>16.594978493548062</v>
      </c>
      <c r="F330" s="27">
        <v>17.133426685337067</v>
      </c>
      <c r="G330" s="27">
        <v>17.633526705341065</v>
      </c>
      <c r="H330" s="27">
        <v>18.141814181418145</v>
      </c>
      <c r="I330" s="27">
        <v>19.131913191319132</v>
      </c>
      <c r="J330" s="27">
        <v>19.920000000000002</v>
      </c>
      <c r="K330" s="27">
        <v>21.004200840168032</v>
      </c>
      <c r="L330" s="27">
        <v>22.456737021106331</v>
      </c>
      <c r="M330" s="27">
        <v>23.552355235523557</v>
      </c>
      <c r="N330" s="27">
        <v>24.474894978995795</v>
      </c>
      <c r="O330" s="27">
        <v>25.812581258125814</v>
      </c>
    </row>
    <row r="331" spans="1:15" x14ac:dyDescent="0.25">
      <c r="A331" s="2">
        <v>327</v>
      </c>
      <c r="B331" s="27">
        <v>14.334300290087025</v>
      </c>
      <c r="C331" s="27">
        <v>15.463092618523705</v>
      </c>
      <c r="D331" s="27">
        <v>15.996398559423772</v>
      </c>
      <c r="E331" s="27">
        <v>16.504951485445634</v>
      </c>
      <c r="F331" s="27">
        <v>17.033406681336267</v>
      </c>
      <c r="G331" s="27">
        <v>17.553510702140429</v>
      </c>
      <c r="H331" s="27">
        <v>18.041804180418044</v>
      </c>
      <c r="I331" s="27">
        <v>19.041904190419043</v>
      </c>
      <c r="J331" s="27">
        <v>19.82</v>
      </c>
      <c r="K331" s="27">
        <v>20.904180836167232</v>
      </c>
      <c r="L331" s="27">
        <v>22.346704011203361</v>
      </c>
      <c r="M331" s="27">
        <v>23.442344234423448</v>
      </c>
      <c r="N331" s="27">
        <v>24.354870974194839</v>
      </c>
      <c r="O331" s="27">
        <v>25.692569256925697</v>
      </c>
    </row>
    <row r="332" spans="1:15" x14ac:dyDescent="0.25">
      <c r="A332" s="2">
        <v>328</v>
      </c>
      <c r="B332" s="27">
        <v>14.244273281984595</v>
      </c>
      <c r="C332" s="27">
        <v>15.383076615323064</v>
      </c>
      <c r="D332" s="27">
        <v>15.926370548219291</v>
      </c>
      <c r="E332" s="27">
        <v>16.424927478243475</v>
      </c>
      <c r="F332" s="27">
        <v>16.943388677735548</v>
      </c>
      <c r="G332" s="27">
        <v>17.463492698539707</v>
      </c>
      <c r="H332" s="27">
        <v>17.941794179417947</v>
      </c>
      <c r="I332" s="27">
        <v>18.951895189518954</v>
      </c>
      <c r="J332" s="27">
        <v>19.72</v>
      </c>
      <c r="K332" s="27">
        <v>20.804160832166431</v>
      </c>
      <c r="L332" s="27">
        <v>22.23667100130039</v>
      </c>
      <c r="M332" s="27">
        <v>23.332333233323332</v>
      </c>
      <c r="N332" s="27">
        <v>24.244848969793956</v>
      </c>
      <c r="O332" s="27">
        <v>25.582558255825585</v>
      </c>
    </row>
    <row r="333" spans="1:15" x14ac:dyDescent="0.25">
      <c r="A333" s="2">
        <v>329</v>
      </c>
      <c r="B333" s="27">
        <v>14.164249274782433</v>
      </c>
      <c r="C333" s="27">
        <v>15.303060612122424</v>
      </c>
      <c r="D333" s="27">
        <v>15.836334533813528</v>
      </c>
      <c r="E333" s="27">
        <v>16.344903471041309</v>
      </c>
      <c r="F333" s="27">
        <v>16.843368673734744</v>
      </c>
      <c r="G333" s="27">
        <v>17.373474694938988</v>
      </c>
      <c r="H333" s="27">
        <v>17.831783178317831</v>
      </c>
      <c r="I333" s="27">
        <v>18.851885188518857</v>
      </c>
      <c r="J333" s="27">
        <v>19.61</v>
      </c>
      <c r="K333" s="27">
        <v>20.704140828165631</v>
      </c>
      <c r="L333" s="27">
        <v>22.136640992297686</v>
      </c>
      <c r="M333" s="27">
        <v>23.212321232123216</v>
      </c>
      <c r="N333" s="27">
        <v>24.134826965393078</v>
      </c>
      <c r="O333" s="27">
        <v>25.472547254725473</v>
      </c>
    </row>
    <row r="334" spans="1:15" x14ac:dyDescent="0.25">
      <c r="A334" s="2">
        <v>330</v>
      </c>
      <c r="B334" s="27">
        <v>14.084225267580273</v>
      </c>
      <c r="C334" s="27">
        <v>15.213042608521704</v>
      </c>
      <c r="D334" s="27">
        <v>15.746298519407766</v>
      </c>
      <c r="E334" s="27">
        <v>16.254876462938881</v>
      </c>
      <c r="F334" s="27">
        <v>16.763352670534108</v>
      </c>
      <c r="G334" s="27">
        <v>17.283456691338269</v>
      </c>
      <c r="H334" s="27">
        <v>17.741774177417742</v>
      </c>
      <c r="I334" s="27">
        <v>18.751875187518756</v>
      </c>
      <c r="J334" s="27">
        <v>19.510000000000002</v>
      </c>
      <c r="K334" s="27">
        <v>20.604120824164834</v>
      </c>
      <c r="L334" s="27">
        <v>22.026607982394715</v>
      </c>
      <c r="M334" s="27">
        <v>23.112311231123115</v>
      </c>
      <c r="N334" s="27">
        <v>24.024804960992196</v>
      </c>
      <c r="O334" s="27">
        <v>25.372537253725376</v>
      </c>
    </row>
    <row r="335" spans="1:15" x14ac:dyDescent="0.25">
      <c r="A335" s="2">
        <v>331</v>
      </c>
      <c r="B335" s="27">
        <v>14.004201260378112</v>
      </c>
      <c r="C335" s="27">
        <v>15.123024604920984</v>
      </c>
      <c r="D335" s="27">
        <v>15.656262505002003</v>
      </c>
      <c r="E335" s="27">
        <v>16.16484945483645</v>
      </c>
      <c r="F335" s="27">
        <v>16.683336667333467</v>
      </c>
      <c r="G335" s="27">
        <v>17.193438687737547</v>
      </c>
      <c r="H335" s="27">
        <v>17.641764176417645</v>
      </c>
      <c r="I335" s="27">
        <v>18.651865186518652</v>
      </c>
      <c r="J335" s="27">
        <v>19.41</v>
      </c>
      <c r="K335" s="27">
        <v>20.50410082016403</v>
      </c>
      <c r="L335" s="27">
        <v>21.926577973392018</v>
      </c>
      <c r="M335" s="27">
        <v>23.022302230223026</v>
      </c>
      <c r="N335" s="27">
        <v>23.914782956591317</v>
      </c>
      <c r="O335" s="27">
        <v>25.262526252625268</v>
      </c>
    </row>
    <row r="336" spans="1:15" x14ac:dyDescent="0.25">
      <c r="A336" s="2">
        <v>332</v>
      </c>
      <c r="B336" s="27">
        <v>13.934180254076221</v>
      </c>
      <c r="C336" s="27">
        <v>15.053010602120423</v>
      </c>
      <c r="D336" s="27">
        <v>15.566226490596241</v>
      </c>
      <c r="E336" s="27">
        <v>16.074822446734018</v>
      </c>
      <c r="F336" s="27">
        <v>16.593318663732745</v>
      </c>
      <c r="G336" s="27">
        <v>17.083416683336665</v>
      </c>
      <c r="H336" s="27">
        <v>17.551755175517556</v>
      </c>
      <c r="I336" s="27">
        <v>18.561856185618563</v>
      </c>
      <c r="J336" s="27">
        <v>19.309999999999999</v>
      </c>
      <c r="K336" s="27">
        <v>20.40408081616323</v>
      </c>
      <c r="L336" s="27">
        <v>21.816544963489044</v>
      </c>
      <c r="M336" s="27">
        <v>22.912291229122914</v>
      </c>
      <c r="N336" s="27">
        <v>23.804760952190438</v>
      </c>
      <c r="O336" s="27">
        <v>25.142514251425148</v>
      </c>
    </row>
    <row r="337" spans="1:15" x14ac:dyDescent="0.25">
      <c r="A337" s="2">
        <v>333</v>
      </c>
      <c r="B337" s="27">
        <v>13.85415624687406</v>
      </c>
      <c r="C337" s="27">
        <v>14.982996599319863</v>
      </c>
      <c r="D337" s="27">
        <v>15.47619047619048</v>
      </c>
      <c r="E337" s="27">
        <v>15.984795438631588</v>
      </c>
      <c r="F337" s="27">
        <v>16.493298659731945</v>
      </c>
      <c r="G337" s="27">
        <v>16.973394678935787</v>
      </c>
      <c r="H337" s="27">
        <v>17.451745174517452</v>
      </c>
      <c r="I337" s="27">
        <v>18.461846184618466</v>
      </c>
      <c r="J337" s="27">
        <v>19.2</v>
      </c>
      <c r="K337" s="27">
        <v>20.284056811362273</v>
      </c>
      <c r="L337" s="27">
        <v>21.696508952685807</v>
      </c>
      <c r="M337" s="27">
        <v>22.782278227822786</v>
      </c>
      <c r="N337" s="27">
        <v>23.684736947389478</v>
      </c>
      <c r="O337" s="27">
        <v>25.012501250125016</v>
      </c>
    </row>
    <row r="338" spans="1:15" x14ac:dyDescent="0.25">
      <c r="A338" s="2">
        <v>334</v>
      </c>
      <c r="B338" s="27">
        <v>13.7741322396719</v>
      </c>
      <c r="C338" s="27">
        <v>14.882976595319064</v>
      </c>
      <c r="D338" s="27">
        <v>15.376150460184075</v>
      </c>
      <c r="E338" s="27">
        <v>15.884765429628889</v>
      </c>
      <c r="F338" s="27">
        <v>16.393278655731145</v>
      </c>
      <c r="G338" s="27">
        <v>16.873374674934986</v>
      </c>
      <c r="H338" s="27">
        <v>17.351735173517355</v>
      </c>
      <c r="I338" s="27">
        <v>18.361836183618365</v>
      </c>
      <c r="J338" s="27">
        <v>19.09</v>
      </c>
      <c r="K338" s="27">
        <v>20.174034806961394</v>
      </c>
      <c r="L338" s="27">
        <v>21.576472941882564</v>
      </c>
      <c r="M338" s="27">
        <v>22.662266226622666</v>
      </c>
      <c r="N338" s="27">
        <v>23.574714942988596</v>
      </c>
      <c r="O338" s="27">
        <v>24.882488248824885</v>
      </c>
    </row>
    <row r="339" spans="1:15" x14ac:dyDescent="0.25">
      <c r="A339" s="2">
        <v>335</v>
      </c>
      <c r="B339" s="27">
        <v>13.704111233370009</v>
      </c>
      <c r="C339" s="27">
        <v>14.772954590918182</v>
      </c>
      <c r="D339" s="27">
        <v>15.286114445778313</v>
      </c>
      <c r="E339" s="27">
        <v>15.784735420626186</v>
      </c>
      <c r="F339" s="27">
        <v>16.293258651730344</v>
      </c>
      <c r="G339" s="27">
        <v>16.773354670934186</v>
      </c>
      <c r="H339" s="27">
        <v>17.251725172517254</v>
      </c>
      <c r="I339" s="27">
        <v>18.251825182518253</v>
      </c>
      <c r="J339" s="27">
        <v>18.98</v>
      </c>
      <c r="K339" s="27">
        <v>20.07401480296059</v>
      </c>
      <c r="L339" s="27">
        <v>21.466439931979593</v>
      </c>
      <c r="M339" s="27">
        <v>22.552255225522558</v>
      </c>
      <c r="N339" s="27">
        <v>23.454690938187635</v>
      </c>
      <c r="O339" s="27">
        <v>24.772477247724776</v>
      </c>
    </row>
    <row r="340" spans="1:15" x14ac:dyDescent="0.25">
      <c r="A340" s="2">
        <v>336</v>
      </c>
      <c r="B340" s="27">
        <v>13.634090227068119</v>
      </c>
      <c r="C340" s="27">
        <v>14.672934586917382</v>
      </c>
      <c r="D340" s="27">
        <v>15.20608243297319</v>
      </c>
      <c r="E340" s="27">
        <v>15.684705411623487</v>
      </c>
      <c r="F340" s="27">
        <v>16.193238647729547</v>
      </c>
      <c r="G340" s="27">
        <v>16.673334666933389</v>
      </c>
      <c r="H340" s="27">
        <v>17.161716171617165</v>
      </c>
      <c r="I340" s="27">
        <v>18.151815181518153</v>
      </c>
      <c r="J340" s="27">
        <v>18.88</v>
      </c>
      <c r="K340" s="27">
        <v>19.963992798559712</v>
      </c>
      <c r="L340" s="27">
        <v>21.356406922076623</v>
      </c>
      <c r="M340" s="27">
        <v>22.442244224422446</v>
      </c>
      <c r="N340" s="27">
        <v>23.334666933386675</v>
      </c>
      <c r="O340" s="27">
        <v>24.662466246624668</v>
      </c>
    </row>
    <row r="341" spans="1:15" x14ac:dyDescent="0.25">
      <c r="A341" s="2">
        <v>337</v>
      </c>
      <c r="B341" s="27">
        <v>13.56406922076623</v>
      </c>
      <c r="C341" s="27">
        <v>14.592918583716743</v>
      </c>
      <c r="D341" s="27">
        <v>15.116046418567429</v>
      </c>
      <c r="E341" s="27">
        <v>15.594678403521055</v>
      </c>
      <c r="F341" s="27">
        <v>16.103220644128825</v>
      </c>
      <c r="G341" s="27">
        <v>16.583316663332663</v>
      </c>
      <c r="H341" s="27">
        <v>17.061706170617065</v>
      </c>
      <c r="I341" s="27">
        <v>18.041804180418044</v>
      </c>
      <c r="J341" s="27">
        <v>18.77</v>
      </c>
      <c r="K341" s="27">
        <v>19.853970794158833</v>
      </c>
      <c r="L341" s="27">
        <v>21.236370911273379</v>
      </c>
      <c r="M341" s="27">
        <v>22.322232223222326</v>
      </c>
      <c r="N341" s="27">
        <v>23.214642928585718</v>
      </c>
      <c r="O341" s="27">
        <v>24.542454245424544</v>
      </c>
    </row>
    <row r="342" spans="1:15" x14ac:dyDescent="0.25">
      <c r="A342" s="2">
        <v>338</v>
      </c>
      <c r="B342" s="27">
        <v>13.48404521356407</v>
      </c>
      <c r="C342" s="27">
        <v>14.512902580516103</v>
      </c>
      <c r="D342" s="27">
        <v>15.026010404161667</v>
      </c>
      <c r="E342" s="27">
        <v>15.514654396318894</v>
      </c>
      <c r="F342" s="27">
        <v>16.013202640528107</v>
      </c>
      <c r="G342" s="27">
        <v>16.493298659731945</v>
      </c>
      <c r="H342" s="27">
        <v>16.971697169716972</v>
      </c>
      <c r="I342" s="27">
        <v>17.941794179417947</v>
      </c>
      <c r="J342" s="27">
        <v>18.670000000000002</v>
      </c>
      <c r="K342" s="27">
        <v>19.733946789357873</v>
      </c>
      <c r="L342" s="27">
        <v>21.11633490047014</v>
      </c>
      <c r="M342" s="27">
        <v>22.212221222122217</v>
      </c>
      <c r="N342" s="27">
        <v>23.104620924184836</v>
      </c>
      <c r="O342" s="27">
        <v>24.422442244224428</v>
      </c>
    </row>
    <row r="343" spans="1:15" x14ac:dyDescent="0.25">
      <c r="A343" s="2">
        <v>339</v>
      </c>
      <c r="B343" s="27">
        <v>13.404021206361907</v>
      </c>
      <c r="C343" s="27">
        <v>14.422884576915383</v>
      </c>
      <c r="D343" s="27">
        <v>14.945978391356544</v>
      </c>
      <c r="E343" s="27">
        <v>15.434630389116734</v>
      </c>
      <c r="F343" s="27">
        <v>15.923184636927385</v>
      </c>
      <c r="G343" s="27">
        <v>16.403280656131223</v>
      </c>
      <c r="H343" s="27">
        <v>16.881688168816883</v>
      </c>
      <c r="I343" s="27">
        <v>17.841784178417843</v>
      </c>
      <c r="J343" s="27">
        <v>18.579999999999998</v>
      </c>
      <c r="K343" s="27">
        <v>19.633926785357069</v>
      </c>
      <c r="L343" s="27">
        <v>21.006301890567169</v>
      </c>
      <c r="M343" s="27">
        <v>22.102210221022105</v>
      </c>
      <c r="N343" s="27">
        <v>22.984596919383876</v>
      </c>
      <c r="O343" s="27">
        <v>24.292429242924296</v>
      </c>
    </row>
    <row r="344" spans="1:15" x14ac:dyDescent="0.25">
      <c r="A344" s="2">
        <v>340</v>
      </c>
      <c r="B344" s="27">
        <v>13.313994198259477</v>
      </c>
      <c r="C344" s="27">
        <v>14.332866573314663</v>
      </c>
      <c r="D344" s="27">
        <v>14.865946378551422</v>
      </c>
      <c r="E344" s="27">
        <v>15.344603381014304</v>
      </c>
      <c r="F344" s="27">
        <v>15.833166633326664</v>
      </c>
      <c r="G344" s="27">
        <v>16.313262652530504</v>
      </c>
      <c r="H344" s="27">
        <v>16.791679167916794</v>
      </c>
      <c r="I344" s="27">
        <v>17.741774177417742</v>
      </c>
      <c r="J344" s="27">
        <v>18.489999999999998</v>
      </c>
      <c r="K344" s="27">
        <v>19.533906781356272</v>
      </c>
      <c r="L344" s="27">
        <v>20.906271881564468</v>
      </c>
      <c r="M344" s="27">
        <v>21.982198219821985</v>
      </c>
      <c r="N344" s="27">
        <v>22.864572914582915</v>
      </c>
      <c r="O344" s="27">
        <v>24.172417241724176</v>
      </c>
    </row>
    <row r="345" spans="1:15" x14ac:dyDescent="0.25">
      <c r="A345" s="2">
        <v>341</v>
      </c>
      <c r="B345" s="27">
        <v>13.243973191957586</v>
      </c>
      <c r="C345" s="27">
        <v>14.252850570114022</v>
      </c>
      <c r="D345" s="27">
        <v>14.775910364145661</v>
      </c>
      <c r="E345" s="27">
        <v>15.264579373812142</v>
      </c>
      <c r="F345" s="27">
        <v>15.753150630126024</v>
      </c>
      <c r="G345" s="27">
        <v>16.223244648929786</v>
      </c>
      <c r="H345" s="27">
        <v>16.701670167016704</v>
      </c>
      <c r="I345" s="27">
        <v>17.641764176417645</v>
      </c>
      <c r="J345" s="27">
        <v>18.39</v>
      </c>
      <c r="K345" s="27">
        <v>19.44388877775555</v>
      </c>
      <c r="L345" s="27">
        <v>20.806241872561767</v>
      </c>
      <c r="M345" s="27">
        <v>21.882188218821884</v>
      </c>
      <c r="N345" s="27">
        <v>22.754550910182036</v>
      </c>
      <c r="O345" s="27">
        <v>24.062406240624064</v>
      </c>
    </row>
    <row r="346" spans="1:15" x14ac:dyDescent="0.25">
      <c r="A346" s="2">
        <v>342</v>
      </c>
      <c r="B346" s="27">
        <v>13.173952185655695</v>
      </c>
      <c r="C346" s="27">
        <v>14.172834566913382</v>
      </c>
      <c r="D346" s="27">
        <v>14.695878351340538</v>
      </c>
      <c r="E346" s="27">
        <v>15.184555366609981</v>
      </c>
      <c r="F346" s="27">
        <v>15.673134626925384</v>
      </c>
      <c r="G346" s="27">
        <v>16.143228645729145</v>
      </c>
      <c r="H346" s="27">
        <v>16.611661166116612</v>
      </c>
      <c r="I346" s="27">
        <v>17.551755175517556</v>
      </c>
      <c r="J346" s="27">
        <v>18.28</v>
      </c>
      <c r="K346" s="27">
        <v>19.34386877375475</v>
      </c>
      <c r="L346" s="27">
        <v>20.706211863559066</v>
      </c>
      <c r="M346" s="27">
        <v>21.792179217921795</v>
      </c>
      <c r="N346" s="27">
        <v>22.644528905781154</v>
      </c>
      <c r="O346" s="27">
        <v>23.962396239623967</v>
      </c>
    </row>
    <row r="347" spans="1:15" x14ac:dyDescent="0.25">
      <c r="A347" s="2">
        <v>343</v>
      </c>
      <c r="B347" s="27">
        <v>13.093928178453535</v>
      </c>
      <c r="C347" s="27">
        <v>14.102820564112822</v>
      </c>
      <c r="D347" s="27">
        <v>14.615846338535416</v>
      </c>
      <c r="E347" s="27">
        <v>15.104531359407821</v>
      </c>
      <c r="F347" s="27">
        <v>15.583116623324665</v>
      </c>
      <c r="G347" s="27">
        <v>16.053210642128427</v>
      </c>
      <c r="H347" s="27">
        <v>16.521652165216523</v>
      </c>
      <c r="I347" s="27">
        <v>17.471747174717471</v>
      </c>
      <c r="J347" s="27">
        <v>18.18</v>
      </c>
      <c r="K347" s="27">
        <v>19.243848769753949</v>
      </c>
      <c r="L347" s="27">
        <v>20.606181854556368</v>
      </c>
      <c r="M347" s="27">
        <v>21.692169216921698</v>
      </c>
      <c r="N347" s="27">
        <v>22.544508901780354</v>
      </c>
      <c r="O347" s="27">
        <v>23.862386238623866</v>
      </c>
    </row>
    <row r="348" spans="1:15" x14ac:dyDescent="0.25">
      <c r="A348" s="2">
        <v>344</v>
      </c>
      <c r="B348" s="27">
        <v>13.023907172151644</v>
      </c>
      <c r="C348" s="27">
        <v>14.022804560912181</v>
      </c>
      <c r="D348" s="27">
        <v>14.535814325730295</v>
      </c>
      <c r="E348" s="27">
        <v>15.014504351305391</v>
      </c>
      <c r="F348" s="27">
        <v>15.493098619723945</v>
      </c>
      <c r="G348" s="27">
        <v>15.973194638927785</v>
      </c>
      <c r="H348" s="27">
        <v>16.441644164416445</v>
      </c>
      <c r="I348" s="27">
        <v>17.381738173817382</v>
      </c>
      <c r="J348" s="27">
        <v>18.079999999999998</v>
      </c>
      <c r="K348" s="27">
        <v>19.143828765753149</v>
      </c>
      <c r="L348" s="27">
        <v>20.516154846453936</v>
      </c>
      <c r="M348" s="27">
        <v>21.592159215921594</v>
      </c>
      <c r="N348" s="27">
        <v>22.454490898179635</v>
      </c>
      <c r="O348" s="27">
        <v>23.752375237523754</v>
      </c>
    </row>
    <row r="349" spans="1:15" x14ac:dyDescent="0.25">
      <c r="A349" s="2">
        <v>345</v>
      </c>
      <c r="B349" s="27">
        <v>12.943883164949483</v>
      </c>
      <c r="C349" s="27">
        <v>13.942788557711541</v>
      </c>
      <c r="D349" s="27">
        <v>14.465786314525813</v>
      </c>
      <c r="E349" s="27">
        <v>14.93448034410323</v>
      </c>
      <c r="F349" s="27">
        <v>15.423084616923385</v>
      </c>
      <c r="G349" s="27">
        <v>15.883176635327066</v>
      </c>
      <c r="H349" s="27">
        <v>16.351635163516356</v>
      </c>
      <c r="I349" s="27">
        <v>17.301730173017305</v>
      </c>
      <c r="J349" s="27">
        <v>18</v>
      </c>
      <c r="K349" s="27">
        <v>19.05381076215243</v>
      </c>
      <c r="L349" s="27">
        <v>20.416124837451235</v>
      </c>
      <c r="M349" s="27">
        <v>21.482148214821486</v>
      </c>
      <c r="N349" s="27">
        <v>22.354470894178835</v>
      </c>
      <c r="O349" s="27">
        <v>23.652365236523654</v>
      </c>
    </row>
    <row r="350" spans="1:15" x14ac:dyDescent="0.25">
      <c r="A350" s="2">
        <v>346</v>
      </c>
      <c r="B350" s="27">
        <v>12.863859157747322</v>
      </c>
      <c r="C350" s="27">
        <v>13.872774554910981</v>
      </c>
      <c r="D350" s="27">
        <v>14.385754301720691</v>
      </c>
      <c r="E350" s="27">
        <v>14.864459337801339</v>
      </c>
      <c r="F350" s="27">
        <v>15.343068613722744</v>
      </c>
      <c r="G350" s="27">
        <v>15.793158631726344</v>
      </c>
      <c r="H350" s="27">
        <v>16.261626162616267</v>
      </c>
      <c r="I350" s="27">
        <v>17.211721172117215</v>
      </c>
      <c r="J350" s="27">
        <v>17.920000000000002</v>
      </c>
      <c r="K350" s="27">
        <v>18.97379475895179</v>
      </c>
      <c r="L350" s="27">
        <v>20.316094828448531</v>
      </c>
      <c r="M350" s="27">
        <v>21.382138213821385</v>
      </c>
      <c r="N350" s="27">
        <v>22.234446889377875</v>
      </c>
      <c r="O350" s="27">
        <v>23.542354235423545</v>
      </c>
    </row>
    <row r="351" spans="1:15" x14ac:dyDescent="0.25">
      <c r="A351" s="2">
        <v>347</v>
      </c>
      <c r="B351" s="27">
        <v>12.783835150545162</v>
      </c>
      <c r="C351" s="27">
        <v>13.792758551710341</v>
      </c>
      <c r="D351" s="27">
        <v>14.285714285714286</v>
      </c>
      <c r="E351" s="27">
        <v>14.784435330599178</v>
      </c>
      <c r="F351" s="27">
        <v>15.253050610122024</v>
      </c>
      <c r="G351" s="27">
        <v>15.713142628525706</v>
      </c>
      <c r="H351" s="27">
        <v>16.181618161816182</v>
      </c>
      <c r="I351" s="27">
        <v>17.111711171117115</v>
      </c>
      <c r="J351" s="27">
        <v>17.82</v>
      </c>
      <c r="K351" s="27">
        <v>18.89377875575115</v>
      </c>
      <c r="L351" s="27">
        <v>20.20606181854556</v>
      </c>
      <c r="M351" s="27">
        <v>21.282128212821288</v>
      </c>
      <c r="N351" s="27">
        <v>22.134426885377074</v>
      </c>
      <c r="O351" s="27">
        <v>23.432343234323437</v>
      </c>
    </row>
    <row r="352" spans="1:15" x14ac:dyDescent="0.25">
      <c r="A352" s="2">
        <v>348</v>
      </c>
      <c r="B352" s="27">
        <v>12.713814144243273</v>
      </c>
      <c r="C352" s="27">
        <v>13.722744548909782</v>
      </c>
      <c r="D352" s="27">
        <v>14.205682272909165</v>
      </c>
      <c r="E352" s="27">
        <v>14.694408322496747</v>
      </c>
      <c r="F352" s="27">
        <v>15.163032606521304</v>
      </c>
      <c r="G352" s="27">
        <v>15.623124624924984</v>
      </c>
      <c r="H352" s="27">
        <v>16.091609160916093</v>
      </c>
      <c r="I352" s="27">
        <v>17.011701170117014</v>
      </c>
      <c r="J352" s="27">
        <v>17.73</v>
      </c>
      <c r="K352" s="27">
        <v>18.793758751750349</v>
      </c>
      <c r="L352" s="27">
        <v>20.08602580774232</v>
      </c>
      <c r="M352" s="27">
        <v>21.192119211921195</v>
      </c>
      <c r="N352" s="27">
        <v>22.024404880976192</v>
      </c>
      <c r="O352" s="27">
        <v>23.322332233223324</v>
      </c>
    </row>
    <row r="353" spans="1:15" x14ac:dyDescent="0.25">
      <c r="A353" s="2">
        <v>349</v>
      </c>
      <c r="B353" s="27">
        <v>12.643793137941381</v>
      </c>
      <c r="C353" s="27">
        <v>13.642728545709142</v>
      </c>
      <c r="D353" s="27">
        <v>14.135654261704685</v>
      </c>
      <c r="E353" s="27">
        <v>14.614384315294586</v>
      </c>
      <c r="F353" s="27">
        <v>15.073014602920583</v>
      </c>
      <c r="G353" s="27">
        <v>15.543108621724343</v>
      </c>
      <c r="H353" s="27">
        <v>16.001600160016004</v>
      </c>
      <c r="I353" s="27">
        <v>16.931693169316933</v>
      </c>
      <c r="J353" s="27">
        <v>17.63</v>
      </c>
      <c r="K353" s="27">
        <v>18.683736747349467</v>
      </c>
      <c r="L353" s="27">
        <v>19.97599279783935</v>
      </c>
      <c r="M353" s="27">
        <v>21.082108210821083</v>
      </c>
      <c r="N353" s="27">
        <v>21.914382876575313</v>
      </c>
      <c r="O353" s="27">
        <v>23.212321232123216</v>
      </c>
    </row>
    <row r="354" spans="1:15" x14ac:dyDescent="0.25">
      <c r="A354" s="2">
        <v>350</v>
      </c>
      <c r="B354" s="27">
        <v>12.573772131639492</v>
      </c>
      <c r="C354" s="27">
        <v>13.572714542908582</v>
      </c>
      <c r="D354" s="27">
        <v>14.065626250500204</v>
      </c>
      <c r="E354" s="27">
        <v>14.544363308992695</v>
      </c>
      <c r="F354" s="27">
        <v>14.982996599319863</v>
      </c>
      <c r="G354" s="27">
        <v>15.483096619323865</v>
      </c>
      <c r="H354" s="27">
        <v>15.931593159315934</v>
      </c>
      <c r="I354" s="27">
        <v>16.851685168516855</v>
      </c>
      <c r="J354" s="27">
        <v>17.510000000000002</v>
      </c>
      <c r="K354" s="27">
        <v>18.553710742148429</v>
      </c>
      <c r="L354" s="27">
        <v>19.885965789736918</v>
      </c>
      <c r="M354" s="27">
        <v>20.942094209420947</v>
      </c>
      <c r="N354" s="27">
        <v>21.794358871774353</v>
      </c>
      <c r="O354" s="27">
        <v>23.102310231023107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V44"/>
  <sheetViews>
    <sheetView workbookViewId="0">
      <pane ySplit="4" topLeftCell="A5" activePane="bottomLeft" state="frozen"/>
      <selection pane="bottomLeft" activeCell="Q1" sqref="Q1:Q1048576"/>
    </sheetView>
  </sheetViews>
  <sheetFormatPr defaultRowHeight="15" x14ac:dyDescent="0.25"/>
  <cols>
    <col min="1" max="1" width="9.140625" style="2"/>
    <col min="2" max="2" width="10.7109375" style="2" customWidth="1"/>
    <col min="3" max="4" width="7.7109375" style="2" customWidth="1"/>
    <col min="5" max="5" width="7.7109375" style="3" customWidth="1"/>
    <col min="6" max="6" width="7.7109375" style="2" customWidth="1"/>
    <col min="7" max="7" width="7.7109375" style="3" customWidth="1"/>
    <col min="8" max="8" width="7.7109375" style="2" customWidth="1"/>
    <col min="9" max="9" width="7.7109375" style="3" customWidth="1"/>
    <col min="10" max="10" width="7.7109375" style="2" customWidth="1"/>
    <col min="11" max="11" width="7.7109375" style="3" customWidth="1"/>
    <col min="12" max="12" width="7.7109375" style="2" customWidth="1"/>
    <col min="13" max="13" width="7.7109375" style="3" customWidth="1"/>
    <col min="14" max="19" width="7.7109375" style="2" customWidth="1"/>
    <col min="20" max="257" width="9.140625" style="2"/>
    <col min="258" max="258" width="10.7109375" style="2" customWidth="1"/>
    <col min="259" max="275" width="7.7109375" style="2" customWidth="1"/>
    <col min="276" max="513" width="9.140625" style="2"/>
    <col min="514" max="514" width="10.7109375" style="2" customWidth="1"/>
    <col min="515" max="531" width="7.7109375" style="2" customWidth="1"/>
    <col min="532" max="769" width="9.140625" style="2"/>
    <col min="770" max="770" width="10.7109375" style="2" customWidth="1"/>
    <col min="771" max="787" width="7.7109375" style="2" customWidth="1"/>
    <col min="788" max="1025" width="9.140625" style="2"/>
    <col min="1026" max="1026" width="10.7109375" style="2" customWidth="1"/>
    <col min="1027" max="1043" width="7.7109375" style="2" customWidth="1"/>
    <col min="1044" max="1281" width="9.140625" style="2"/>
    <col min="1282" max="1282" width="10.7109375" style="2" customWidth="1"/>
    <col min="1283" max="1299" width="7.7109375" style="2" customWidth="1"/>
    <col min="1300" max="1537" width="9.140625" style="2"/>
    <col min="1538" max="1538" width="10.7109375" style="2" customWidth="1"/>
    <col min="1539" max="1555" width="7.7109375" style="2" customWidth="1"/>
    <col min="1556" max="1793" width="9.140625" style="2"/>
    <col min="1794" max="1794" width="10.7109375" style="2" customWidth="1"/>
    <col min="1795" max="1811" width="7.7109375" style="2" customWidth="1"/>
    <col min="1812" max="2049" width="9.140625" style="2"/>
    <col min="2050" max="2050" width="10.7109375" style="2" customWidth="1"/>
    <col min="2051" max="2067" width="7.7109375" style="2" customWidth="1"/>
    <col min="2068" max="2305" width="9.140625" style="2"/>
    <col min="2306" max="2306" width="10.7109375" style="2" customWidth="1"/>
    <col min="2307" max="2323" width="7.7109375" style="2" customWidth="1"/>
    <col min="2324" max="2561" width="9.140625" style="2"/>
    <col min="2562" max="2562" width="10.7109375" style="2" customWidth="1"/>
    <col min="2563" max="2579" width="7.7109375" style="2" customWidth="1"/>
    <col min="2580" max="2817" width="9.140625" style="2"/>
    <col min="2818" max="2818" width="10.7109375" style="2" customWidth="1"/>
    <col min="2819" max="2835" width="7.7109375" style="2" customWidth="1"/>
    <col min="2836" max="3073" width="9.140625" style="2"/>
    <col min="3074" max="3074" width="10.7109375" style="2" customWidth="1"/>
    <col min="3075" max="3091" width="7.7109375" style="2" customWidth="1"/>
    <col min="3092" max="3329" width="9.140625" style="2"/>
    <col min="3330" max="3330" width="10.7109375" style="2" customWidth="1"/>
    <col min="3331" max="3347" width="7.7109375" style="2" customWidth="1"/>
    <col min="3348" max="3585" width="9.140625" style="2"/>
    <col min="3586" max="3586" width="10.7109375" style="2" customWidth="1"/>
    <col min="3587" max="3603" width="7.7109375" style="2" customWidth="1"/>
    <col min="3604" max="3841" width="9.140625" style="2"/>
    <col min="3842" max="3842" width="10.7109375" style="2" customWidth="1"/>
    <col min="3843" max="3859" width="7.7109375" style="2" customWidth="1"/>
    <col min="3860" max="4097" width="9.140625" style="2"/>
    <col min="4098" max="4098" width="10.7109375" style="2" customWidth="1"/>
    <col min="4099" max="4115" width="7.7109375" style="2" customWidth="1"/>
    <col min="4116" max="4353" width="9.140625" style="2"/>
    <col min="4354" max="4354" width="10.7109375" style="2" customWidth="1"/>
    <col min="4355" max="4371" width="7.7109375" style="2" customWidth="1"/>
    <col min="4372" max="4609" width="9.140625" style="2"/>
    <col min="4610" max="4610" width="10.7109375" style="2" customWidth="1"/>
    <col min="4611" max="4627" width="7.7109375" style="2" customWidth="1"/>
    <col min="4628" max="4865" width="9.140625" style="2"/>
    <col min="4866" max="4866" width="10.7109375" style="2" customWidth="1"/>
    <col min="4867" max="4883" width="7.7109375" style="2" customWidth="1"/>
    <col min="4884" max="5121" width="9.140625" style="2"/>
    <col min="5122" max="5122" width="10.7109375" style="2" customWidth="1"/>
    <col min="5123" max="5139" width="7.7109375" style="2" customWidth="1"/>
    <col min="5140" max="5377" width="9.140625" style="2"/>
    <col min="5378" max="5378" width="10.7109375" style="2" customWidth="1"/>
    <col min="5379" max="5395" width="7.7109375" style="2" customWidth="1"/>
    <col min="5396" max="5633" width="9.140625" style="2"/>
    <col min="5634" max="5634" width="10.7109375" style="2" customWidth="1"/>
    <col min="5635" max="5651" width="7.7109375" style="2" customWidth="1"/>
    <col min="5652" max="5889" width="9.140625" style="2"/>
    <col min="5890" max="5890" width="10.7109375" style="2" customWidth="1"/>
    <col min="5891" max="5907" width="7.7109375" style="2" customWidth="1"/>
    <col min="5908" max="6145" width="9.140625" style="2"/>
    <col min="6146" max="6146" width="10.7109375" style="2" customWidth="1"/>
    <col min="6147" max="6163" width="7.7109375" style="2" customWidth="1"/>
    <col min="6164" max="6401" width="9.140625" style="2"/>
    <col min="6402" max="6402" width="10.7109375" style="2" customWidth="1"/>
    <col min="6403" max="6419" width="7.7109375" style="2" customWidth="1"/>
    <col min="6420" max="6657" width="9.140625" style="2"/>
    <col min="6658" max="6658" width="10.7109375" style="2" customWidth="1"/>
    <col min="6659" max="6675" width="7.7109375" style="2" customWidth="1"/>
    <col min="6676" max="6913" width="9.140625" style="2"/>
    <col min="6914" max="6914" width="10.7109375" style="2" customWidth="1"/>
    <col min="6915" max="6931" width="7.7109375" style="2" customWidth="1"/>
    <col min="6932" max="7169" width="9.140625" style="2"/>
    <col min="7170" max="7170" width="10.7109375" style="2" customWidth="1"/>
    <col min="7171" max="7187" width="7.7109375" style="2" customWidth="1"/>
    <col min="7188" max="7425" width="9.140625" style="2"/>
    <col min="7426" max="7426" width="10.7109375" style="2" customWidth="1"/>
    <col min="7427" max="7443" width="7.7109375" style="2" customWidth="1"/>
    <col min="7444" max="7681" width="9.140625" style="2"/>
    <col min="7682" max="7682" width="10.7109375" style="2" customWidth="1"/>
    <col min="7683" max="7699" width="7.7109375" style="2" customWidth="1"/>
    <col min="7700" max="7937" width="9.140625" style="2"/>
    <col min="7938" max="7938" width="10.7109375" style="2" customWidth="1"/>
    <col min="7939" max="7955" width="7.7109375" style="2" customWidth="1"/>
    <col min="7956" max="8193" width="9.140625" style="2"/>
    <col min="8194" max="8194" width="10.7109375" style="2" customWidth="1"/>
    <col min="8195" max="8211" width="7.7109375" style="2" customWidth="1"/>
    <col min="8212" max="8449" width="9.140625" style="2"/>
    <col min="8450" max="8450" width="10.7109375" style="2" customWidth="1"/>
    <col min="8451" max="8467" width="7.7109375" style="2" customWidth="1"/>
    <col min="8468" max="8705" width="9.140625" style="2"/>
    <col min="8706" max="8706" width="10.7109375" style="2" customWidth="1"/>
    <col min="8707" max="8723" width="7.7109375" style="2" customWidth="1"/>
    <col min="8724" max="8961" width="9.140625" style="2"/>
    <col min="8962" max="8962" width="10.7109375" style="2" customWidth="1"/>
    <col min="8963" max="8979" width="7.7109375" style="2" customWidth="1"/>
    <col min="8980" max="9217" width="9.140625" style="2"/>
    <col min="9218" max="9218" width="10.7109375" style="2" customWidth="1"/>
    <col min="9219" max="9235" width="7.7109375" style="2" customWidth="1"/>
    <col min="9236" max="9473" width="9.140625" style="2"/>
    <col min="9474" max="9474" width="10.7109375" style="2" customWidth="1"/>
    <col min="9475" max="9491" width="7.7109375" style="2" customWidth="1"/>
    <col min="9492" max="9729" width="9.140625" style="2"/>
    <col min="9730" max="9730" width="10.7109375" style="2" customWidth="1"/>
    <col min="9731" max="9747" width="7.7109375" style="2" customWidth="1"/>
    <col min="9748" max="9985" width="9.140625" style="2"/>
    <col min="9986" max="9986" width="10.7109375" style="2" customWidth="1"/>
    <col min="9987" max="10003" width="7.7109375" style="2" customWidth="1"/>
    <col min="10004" max="10241" width="9.140625" style="2"/>
    <col min="10242" max="10242" width="10.7109375" style="2" customWidth="1"/>
    <col min="10243" max="10259" width="7.7109375" style="2" customWidth="1"/>
    <col min="10260" max="10497" width="9.140625" style="2"/>
    <col min="10498" max="10498" width="10.7109375" style="2" customWidth="1"/>
    <col min="10499" max="10515" width="7.7109375" style="2" customWidth="1"/>
    <col min="10516" max="10753" width="9.140625" style="2"/>
    <col min="10754" max="10754" width="10.7109375" style="2" customWidth="1"/>
    <col min="10755" max="10771" width="7.7109375" style="2" customWidth="1"/>
    <col min="10772" max="11009" width="9.140625" style="2"/>
    <col min="11010" max="11010" width="10.7109375" style="2" customWidth="1"/>
    <col min="11011" max="11027" width="7.7109375" style="2" customWidth="1"/>
    <col min="11028" max="11265" width="9.140625" style="2"/>
    <col min="11266" max="11266" width="10.7109375" style="2" customWidth="1"/>
    <col min="11267" max="11283" width="7.7109375" style="2" customWidth="1"/>
    <col min="11284" max="11521" width="9.140625" style="2"/>
    <col min="11522" max="11522" width="10.7109375" style="2" customWidth="1"/>
    <col min="11523" max="11539" width="7.7109375" style="2" customWidth="1"/>
    <col min="11540" max="11777" width="9.140625" style="2"/>
    <col min="11778" max="11778" width="10.7109375" style="2" customWidth="1"/>
    <col min="11779" max="11795" width="7.7109375" style="2" customWidth="1"/>
    <col min="11796" max="12033" width="9.140625" style="2"/>
    <col min="12034" max="12034" width="10.7109375" style="2" customWidth="1"/>
    <col min="12035" max="12051" width="7.7109375" style="2" customWidth="1"/>
    <col min="12052" max="12289" width="9.140625" style="2"/>
    <col min="12290" max="12290" width="10.7109375" style="2" customWidth="1"/>
    <col min="12291" max="12307" width="7.7109375" style="2" customWidth="1"/>
    <col min="12308" max="12545" width="9.140625" style="2"/>
    <col min="12546" max="12546" width="10.7109375" style="2" customWidth="1"/>
    <col min="12547" max="12563" width="7.7109375" style="2" customWidth="1"/>
    <col min="12564" max="12801" width="9.140625" style="2"/>
    <col min="12802" max="12802" width="10.7109375" style="2" customWidth="1"/>
    <col min="12803" max="12819" width="7.7109375" style="2" customWidth="1"/>
    <col min="12820" max="13057" width="9.140625" style="2"/>
    <col min="13058" max="13058" width="10.7109375" style="2" customWidth="1"/>
    <col min="13059" max="13075" width="7.7109375" style="2" customWidth="1"/>
    <col min="13076" max="13313" width="9.140625" style="2"/>
    <col min="13314" max="13314" width="10.7109375" style="2" customWidth="1"/>
    <col min="13315" max="13331" width="7.7109375" style="2" customWidth="1"/>
    <col min="13332" max="13569" width="9.140625" style="2"/>
    <col min="13570" max="13570" width="10.7109375" style="2" customWidth="1"/>
    <col min="13571" max="13587" width="7.7109375" style="2" customWidth="1"/>
    <col min="13588" max="13825" width="9.140625" style="2"/>
    <col min="13826" max="13826" width="10.7109375" style="2" customWidth="1"/>
    <col min="13827" max="13843" width="7.7109375" style="2" customWidth="1"/>
    <col min="13844" max="14081" width="9.140625" style="2"/>
    <col min="14082" max="14082" width="10.7109375" style="2" customWidth="1"/>
    <col min="14083" max="14099" width="7.7109375" style="2" customWidth="1"/>
    <col min="14100" max="14337" width="9.140625" style="2"/>
    <col min="14338" max="14338" width="10.7109375" style="2" customWidth="1"/>
    <col min="14339" max="14355" width="7.7109375" style="2" customWidth="1"/>
    <col min="14356" max="14593" width="9.140625" style="2"/>
    <col min="14594" max="14594" width="10.7109375" style="2" customWidth="1"/>
    <col min="14595" max="14611" width="7.7109375" style="2" customWidth="1"/>
    <col min="14612" max="14849" width="9.140625" style="2"/>
    <col min="14850" max="14850" width="10.7109375" style="2" customWidth="1"/>
    <col min="14851" max="14867" width="7.7109375" style="2" customWidth="1"/>
    <col min="14868" max="15105" width="9.140625" style="2"/>
    <col min="15106" max="15106" width="10.7109375" style="2" customWidth="1"/>
    <col min="15107" max="15123" width="7.7109375" style="2" customWidth="1"/>
    <col min="15124" max="15361" width="9.140625" style="2"/>
    <col min="15362" max="15362" width="10.7109375" style="2" customWidth="1"/>
    <col min="15363" max="15379" width="7.7109375" style="2" customWidth="1"/>
    <col min="15380" max="15617" width="9.140625" style="2"/>
    <col min="15618" max="15618" width="10.7109375" style="2" customWidth="1"/>
    <col min="15619" max="15635" width="7.7109375" style="2" customWidth="1"/>
    <col min="15636" max="15873" width="9.140625" style="2"/>
    <col min="15874" max="15874" width="10.7109375" style="2" customWidth="1"/>
    <col min="15875" max="15891" width="7.7109375" style="2" customWidth="1"/>
    <col min="15892" max="16129" width="9.140625" style="2"/>
    <col min="16130" max="16130" width="10.7109375" style="2" customWidth="1"/>
    <col min="16131" max="16147" width="7.7109375" style="2" customWidth="1"/>
    <col min="16148" max="16384" width="9.140625" style="2"/>
  </cols>
  <sheetData>
    <row r="2" spans="1:19" ht="21" x14ac:dyDescent="0.35">
      <c r="B2" s="1" t="s">
        <v>16</v>
      </c>
    </row>
    <row r="3" spans="1:19" x14ac:dyDescent="0.25">
      <c r="B3" s="2" t="s">
        <v>18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</row>
    <row r="4" spans="1:19" x14ac:dyDescent="0.25">
      <c r="A4" s="2" t="s">
        <v>19</v>
      </c>
      <c r="B4" s="5" t="s">
        <v>17</v>
      </c>
      <c r="C4" s="6">
        <v>3</v>
      </c>
      <c r="D4" s="7">
        <v>4</v>
      </c>
      <c r="E4" s="7">
        <v>5</v>
      </c>
      <c r="F4" s="7">
        <v>6</v>
      </c>
      <c r="G4" s="7">
        <v>7</v>
      </c>
      <c r="H4" s="7">
        <v>8</v>
      </c>
      <c r="I4" s="7">
        <v>9</v>
      </c>
      <c r="J4" s="7">
        <v>10</v>
      </c>
      <c r="K4" s="7">
        <v>12</v>
      </c>
      <c r="L4" s="7">
        <v>14</v>
      </c>
      <c r="M4" s="7">
        <v>16</v>
      </c>
      <c r="N4" s="7">
        <v>18</v>
      </c>
      <c r="O4" s="7">
        <v>20</v>
      </c>
      <c r="P4" s="7">
        <v>25</v>
      </c>
      <c r="Q4" s="7">
        <v>30</v>
      </c>
      <c r="R4" s="7">
        <v>35</v>
      </c>
      <c r="S4" s="8">
        <v>40</v>
      </c>
    </row>
    <row r="5" spans="1:19" x14ac:dyDescent="0.25">
      <c r="A5" s="2" t="s">
        <v>34</v>
      </c>
      <c r="B5" s="9">
        <v>1.4</v>
      </c>
      <c r="C5" s="10">
        <f>('[1]%DD corr.'!C21/'[1]%DD corr.'!C$57)*('[1]NPSF corr.'!C19/'[1]NPSF corr.'!C$55)*((('[1]A corr.'!$L$2+'6X TPRs'!$B5)/('[1]A corr.'!$L$2+'[1]A corr.'!$L$3))^2)</f>
        <v>1.1298457229506698</v>
      </c>
      <c r="D5" s="11">
        <f>('[1]%DD corr.'!D21/'[1]%DD corr.'!D$57)*('[1]NPSF corr.'!D19/'[1]NPSF corr.'!D$55)*((('[1]A corr.'!$L$2+'6X TPRs'!$B5)/('[1]A corr.'!$L$2+'[1]A corr.'!$L$3))^2)</f>
        <v>1.1189500580904137</v>
      </c>
      <c r="E5" s="12">
        <f>('[1]%DD corr.'!E21/'[1]%DD corr.'!E$57)*('[1]NPSF corr.'!E19/'[1]NPSF corr.'!E$55)*((('[1]A corr.'!$L$2+'6X TPRs'!$B5)/('[1]A corr.'!$L$2+'[1]A corr.'!$L$3))^2)</f>
        <v>1.1102393354562792</v>
      </c>
      <c r="F5" s="11">
        <f>('[1]%DD corr.'!F21/'[1]%DD corr.'!F$57)*('[1]NPSF corr.'!F19/'[1]NPSF corr.'!F$55)*((('[1]A corr.'!$L$2+'6X TPRs'!$B5)/('[1]A corr.'!$L$2+'[1]A corr.'!$L$3))^2)</f>
        <v>1.1025160736410082</v>
      </c>
      <c r="G5" s="12">
        <f>('[1]%DD corr.'!G21/'[1]%DD corr.'!G$57)*('[1]NPSF corr.'!G19/'[1]NPSF corr.'!G$55)*((('[1]A corr.'!$L$2+'6X TPRs'!$B5)/('[1]A corr.'!$L$2+'[1]A corr.'!$L$3))^2)</f>
        <v>1.0962018282975554</v>
      </c>
      <c r="H5" s="11">
        <f>('[1]%DD corr.'!H21/'[1]%DD corr.'!H$57)*('[1]NPSF corr.'!H19/'[1]NPSF corr.'!H$55)*((('[1]A corr.'!$L$2+'6X TPRs'!$B5)/('[1]A corr.'!$L$2+'[1]A corr.'!$L$3))^2)</f>
        <v>1.0926361751627365</v>
      </c>
      <c r="I5" s="12">
        <f>('[1]%DD corr.'!I21/'[1]%DD corr.'!I$57)*('[1]NPSF corr.'!I19/'[1]NPSF corr.'!I$55)*((('[1]A corr.'!$L$2+'6X TPRs'!$B5)/('[1]A corr.'!$L$2+'[1]A corr.'!$L$3))^2)</f>
        <v>1.0891809153556202</v>
      </c>
      <c r="J5" s="11">
        <f>('[1]%DD corr.'!J21/'[1]%DD corr.'!J$57)*('[1]NPSF corr.'!J19/'[1]NPSF corr.'!J$55)*((('[1]A corr.'!$L$2+'6X TPRs'!$B5)/('[1]A corr.'!$L$2+'[1]A corr.'!$L$3))^2)</f>
        <v>1.0860959403993073</v>
      </c>
      <c r="K5" s="12">
        <f>('[1]%DD corr.'!K21/'[1]%DD corr.'!K$57)*('[1]NPSF corr.'!K19/'[1]NPSF corr.'!K$55)*((('[1]A corr.'!$L$2+'6X TPRs'!$B5)/('[1]A corr.'!$L$2+'[1]A corr.'!$L$3))^2)</f>
        <v>1.0808094328112794</v>
      </c>
      <c r="L5" s="11">
        <f>('[1]%DD corr.'!L21/'[1]%DD corr.'!L$57)*('[1]NPSF corr.'!L19/'[1]NPSF corr.'!L$55)*((('[1]A corr.'!$L$2+'6X TPRs'!$B5)/('[1]A corr.'!$L$2+'[1]A corr.'!$L$3))^2)</f>
        <v>1.0760033852103628</v>
      </c>
      <c r="M5" s="12">
        <f>('[1]%DD corr.'!M21/'[1]%DD corr.'!M$57)*('[1]NPSF corr.'!M19/'[1]NPSF corr.'!M$55)*((('[1]A corr.'!$L$2+'6X TPRs'!$B5)/('[1]A corr.'!$L$2+'[1]A corr.'!$L$3))^2)</f>
        <v>1.0720963357983042</v>
      </c>
      <c r="N5" s="11">
        <f>('[1]%DD corr.'!N21/'[1]%DD corr.'!N$57)*('[1]NPSF corr.'!N19/'[1]NPSF corr.'!N$55)*((('[1]A corr.'!$L$2+'6X TPRs'!$B5)/('[1]A corr.'!$L$2+'[1]A corr.'!$L$3))^2)</f>
        <v>1.0706648313833613</v>
      </c>
      <c r="O5" s="12">
        <f>('[1]%DD corr.'!O21/'[1]%DD corr.'!O$57)*('[1]NPSF corr.'!O19/'[1]NPSF corr.'!O$55)*((('[1]A corr.'!$L$2+'6X TPRs'!$B5)/('[1]A corr.'!$L$2+'[1]A corr.'!$L$3))^2)</f>
        <v>1.0692699340265475</v>
      </c>
      <c r="P5" s="11">
        <f>('[1]%DD corr.'!P21/'[1]%DD corr.'!P$57)*('[1]NPSF corr.'!P19/'[1]NPSF corr.'!P$55)*((('[1]A corr.'!$L$2+'6X TPRs'!$B5)/('[1]A corr.'!$L$2+'[1]A corr.'!$L$3))^2)</f>
        <v>1.0654381833546329</v>
      </c>
      <c r="Q5" s="12">
        <f>('[1]%DD corr.'!Q21/'[1]%DD corr.'!Q$57)*('[1]NPSF corr.'!Q19/'[1]NPSF corr.'!Q$55)*((('[1]A corr.'!$L$2+'6X TPRs'!$B5)/('[1]A corr.'!$L$2+'[1]A corr.'!$L$3))^2)</f>
        <v>1.0613021474831024</v>
      </c>
      <c r="R5" s="11">
        <f>('[1]%DD corr.'!R21/'[1]%DD corr.'!R$57)*('[1]NPSF corr.'!R19/'[1]NPSF corr.'!R$55)*((('[1]A corr.'!$L$2+'6X TPRs'!$B5)/('[1]A corr.'!$L$2+'[1]A corr.'!$L$3))^2)</f>
        <v>1.0585729284089307</v>
      </c>
      <c r="S5" s="13">
        <f>('[1]%DD corr.'!S21/'[1]%DD corr.'!S$57)*('[1]NPSF corr.'!S19/'[1]NPSF corr.'!S$55)*((('[1]A corr.'!$L$2+'6X TPRs'!$B5)/('[1]A corr.'!$L$2+'[1]A corr.'!$L$3))^2)</f>
        <v>1.0559503525091987</v>
      </c>
    </row>
    <row r="6" spans="1:19" x14ac:dyDescent="0.25">
      <c r="B6" s="9">
        <v>2</v>
      </c>
      <c r="C6" s="14">
        <f>('[1]%DD corr.'!C27/'[1]%DD corr.'!C$57)*('[1]NPSF corr.'!C25/'[1]NPSF corr.'!C$55)*((('[1]A corr.'!$L$2+'6X TPRs'!$B6)/('[1]A corr.'!$L$2+'[1]A corr.'!$L$3))^2)</f>
        <v>1.1275761648546927</v>
      </c>
      <c r="D6" s="15">
        <f>('[1]%DD corr.'!D27/'[1]%DD corr.'!D$57)*('[1]NPSF corr.'!D25/'[1]NPSF corr.'!D$55)*((('[1]A corr.'!$L$2+'6X TPRs'!$B6)/('[1]A corr.'!$L$2+'[1]A corr.'!$L$3))^2)</f>
        <v>1.1153838182250932</v>
      </c>
      <c r="E6" s="16">
        <f>('[1]%DD corr.'!E27/'[1]%DD corr.'!E$57)*('[1]NPSF corr.'!E25/'[1]NPSF corr.'!E$55)*((('[1]A corr.'!$L$2+'6X TPRs'!$B6)/('[1]A corr.'!$L$2+'[1]A corr.'!$L$3))^2)</f>
        <v>1.1077504085115266</v>
      </c>
      <c r="F6" s="15">
        <f>('[1]%DD corr.'!F27/'[1]%DD corr.'!F$57)*('[1]NPSF corr.'!F25/'[1]NPSF corr.'!F$55)*((('[1]A corr.'!$L$2+'6X TPRs'!$B6)/('[1]A corr.'!$L$2+'[1]A corr.'!$L$3))^2)</f>
        <v>1.1004474407013149</v>
      </c>
      <c r="G6" s="16">
        <f>('[1]%DD corr.'!G27/'[1]%DD corr.'!G$57)*('[1]NPSF corr.'!G25/'[1]NPSF corr.'!G$55)*((('[1]A corr.'!$L$2+'6X TPRs'!$B6)/('[1]A corr.'!$L$2+'[1]A corr.'!$L$3))^2)</f>
        <v>1.0949775141512395</v>
      </c>
      <c r="H6" s="15">
        <f>('[1]%DD corr.'!H27/'[1]%DD corr.'!H$57)*('[1]NPSF corr.'!H25/'[1]NPSF corr.'!H$55)*((('[1]A corr.'!$L$2+'6X TPRs'!$B6)/('[1]A corr.'!$L$2+'[1]A corr.'!$L$3))^2)</f>
        <v>1.0904384509455429</v>
      </c>
      <c r="I6" s="16">
        <f>('[1]%DD corr.'!I27/'[1]%DD corr.'!I$57)*('[1]NPSF corr.'!I25/'[1]NPSF corr.'!I$55)*((('[1]A corr.'!$L$2+'6X TPRs'!$B6)/('[1]A corr.'!$L$2+'[1]A corr.'!$L$3))^2)</f>
        <v>1.0871098005125157</v>
      </c>
      <c r="J6" s="15">
        <f>('[1]%DD corr.'!J27/'[1]%DD corr.'!J$57)*('[1]NPSF corr.'!J25/'[1]NPSF corr.'!J$55)*((('[1]A corr.'!$L$2+'6X TPRs'!$B6)/('[1]A corr.'!$L$2+'[1]A corr.'!$L$3))^2)</f>
        <v>1.0842471836232812</v>
      </c>
      <c r="K6" s="16">
        <f>('[1]%DD corr.'!K27/'[1]%DD corr.'!K$57)*('[1]NPSF corr.'!K25/'[1]NPSF corr.'!K$55)*((('[1]A corr.'!$L$2+'6X TPRs'!$B6)/('[1]A corr.'!$L$2+'[1]A corr.'!$L$3))^2)</f>
        <v>1.0785879122499822</v>
      </c>
      <c r="L6" s="15">
        <f>('[1]%DD corr.'!L27/'[1]%DD corr.'!L$57)*('[1]NPSF corr.'!L25/'[1]NPSF corr.'!L$55)*((('[1]A corr.'!$L$2+'6X TPRs'!$B6)/('[1]A corr.'!$L$2+'[1]A corr.'!$L$3))^2)</f>
        <v>1.0735812610589519</v>
      </c>
      <c r="M6" s="16">
        <f>('[1]%DD corr.'!M27/'[1]%DD corr.'!M$57)*('[1]NPSF corr.'!M25/'[1]NPSF corr.'!M$55)*((('[1]A corr.'!$L$2+'6X TPRs'!$B6)/('[1]A corr.'!$L$2+'[1]A corr.'!$L$3))^2)</f>
        <v>1.0694287711268629</v>
      </c>
      <c r="N6" s="15">
        <f>('[1]%DD corr.'!N27/'[1]%DD corr.'!N$57)*('[1]NPSF corr.'!N25/'[1]NPSF corr.'!N$55)*((('[1]A corr.'!$L$2+'6X TPRs'!$B6)/('[1]A corr.'!$L$2+'[1]A corr.'!$L$3))^2)</f>
        <v>1.0675226982651267</v>
      </c>
      <c r="O6" s="16">
        <f>('[1]%DD corr.'!O27/'[1]%DD corr.'!O$57)*('[1]NPSF corr.'!O25/'[1]NPSF corr.'!O$55)*((('[1]A corr.'!$L$2+'6X TPRs'!$B6)/('[1]A corr.'!$L$2+'[1]A corr.'!$L$3))^2)</f>
        <v>1.0655913767127629</v>
      </c>
      <c r="P6" s="15">
        <f>('[1]%DD corr.'!P27/'[1]%DD corr.'!P$57)*('[1]NPSF corr.'!P25/'[1]NPSF corr.'!P$55)*((('[1]A corr.'!$L$2+'6X TPRs'!$B6)/('[1]A corr.'!$L$2+'[1]A corr.'!$L$3))^2)</f>
        <v>1.0613441847245189</v>
      </c>
      <c r="Q6" s="16">
        <f>('[1]%DD corr.'!Q27/'[1]%DD corr.'!Q$57)*('[1]NPSF corr.'!Q25/'[1]NPSF corr.'!Q$55)*((('[1]A corr.'!$L$2+'6X TPRs'!$B6)/('[1]A corr.'!$L$2+'[1]A corr.'!$L$3))^2)</f>
        <v>1.0574048829724869</v>
      </c>
      <c r="R6" s="15">
        <f>('[1]%DD corr.'!R27/'[1]%DD corr.'!R$57)*('[1]NPSF corr.'!R25/'[1]NPSF corr.'!R$55)*((('[1]A corr.'!$L$2+'6X TPRs'!$B6)/('[1]A corr.'!$L$2+'[1]A corr.'!$L$3))^2)</f>
        <v>1.0551415629411753</v>
      </c>
      <c r="S6" s="17">
        <f>('[1]%DD corr.'!S27/'[1]%DD corr.'!S$57)*('[1]NPSF corr.'!S25/'[1]NPSF corr.'!S$55)*((('[1]A corr.'!$L$2+'6X TPRs'!$B6)/('[1]A corr.'!$L$2+'[1]A corr.'!$L$3))^2)</f>
        <v>1.0532587653897973</v>
      </c>
    </row>
    <row r="7" spans="1:19" x14ac:dyDescent="0.25">
      <c r="B7" s="9">
        <v>3</v>
      </c>
      <c r="C7" s="14">
        <f>('[1]%DD corr.'!C37/'[1]%DD corr.'!C$57)*('[1]NPSF corr.'!C35/'[1]NPSF corr.'!C$55)*((('[1]A corr.'!$L$2+'6X TPRs'!$B7)/('[1]A corr.'!$L$2+'[1]A corr.'!$L$3))^2)</f>
        <v>1.0869908195259494</v>
      </c>
      <c r="D7" s="15">
        <f>('[1]%DD corr.'!D37/'[1]%DD corr.'!D$57)*('[1]NPSF corr.'!D35/'[1]NPSF corr.'!D$55)*((('[1]A corr.'!$L$2+'6X TPRs'!$B7)/('[1]A corr.'!$L$2+'[1]A corr.'!$L$3))^2)</f>
        <v>1.0803680222290821</v>
      </c>
      <c r="E7" s="16">
        <f>('[1]%DD corr.'!E37/'[1]%DD corr.'!E$57)*('[1]NPSF corr.'!E35/'[1]NPSF corr.'!E$55)*((('[1]A corr.'!$L$2+'6X TPRs'!$B7)/('[1]A corr.'!$L$2+'[1]A corr.'!$L$3))^2)</f>
        <v>1.0745648894657995</v>
      </c>
      <c r="F7" s="15">
        <f>('[1]%DD corr.'!F37/'[1]%DD corr.'!F$57)*('[1]NPSF corr.'!F35/'[1]NPSF corr.'!F$55)*((('[1]A corr.'!$L$2+'6X TPRs'!$B7)/('[1]A corr.'!$L$2+'[1]A corr.'!$L$3))^2)</f>
        <v>1.0705136577311811</v>
      </c>
      <c r="G7" s="16">
        <f>('[1]%DD corr.'!G37/'[1]%DD corr.'!G$57)*('[1]NPSF corr.'!G35/'[1]NPSF corr.'!G$55)*((('[1]A corr.'!$L$2+'6X TPRs'!$B7)/('[1]A corr.'!$L$2+'[1]A corr.'!$L$3))^2)</f>
        <v>1.0664579761293209</v>
      </c>
      <c r="H7" s="15">
        <f>('[1]%DD corr.'!H37/'[1]%DD corr.'!H$57)*('[1]NPSF corr.'!H35/'[1]NPSF corr.'!H$55)*((('[1]A corr.'!$L$2+'6X TPRs'!$B7)/('[1]A corr.'!$L$2+'[1]A corr.'!$L$3))^2)</f>
        <v>1.0637516545155472</v>
      </c>
      <c r="I7" s="16">
        <f>('[1]%DD corr.'!I37/'[1]%DD corr.'!I$57)*('[1]NPSF corr.'!I35/'[1]NPSF corr.'!I$55)*((('[1]A corr.'!$L$2+'6X TPRs'!$B7)/('[1]A corr.'!$L$2+'[1]A corr.'!$L$3))^2)</f>
        <v>1.0610001834266136</v>
      </c>
      <c r="J7" s="15">
        <f>('[1]%DD corr.'!J37/'[1]%DD corr.'!J$57)*('[1]NPSF corr.'!J35/'[1]NPSF corr.'!J$55)*((('[1]A corr.'!$L$2+'6X TPRs'!$B7)/('[1]A corr.'!$L$2+'[1]A corr.'!$L$3))^2)</f>
        <v>1.0583033114621565</v>
      </c>
      <c r="K7" s="16">
        <f>('[1]%DD corr.'!K37/'[1]%DD corr.'!K$57)*('[1]NPSF corr.'!K35/'[1]NPSF corr.'!K$55)*((('[1]A corr.'!$L$2+'6X TPRs'!$B7)/('[1]A corr.'!$L$2+'[1]A corr.'!$L$3))^2)</f>
        <v>1.0548070494920903</v>
      </c>
      <c r="L7" s="15">
        <f>('[1]%DD corr.'!L37/'[1]%DD corr.'!L$57)*('[1]NPSF corr.'!L35/'[1]NPSF corr.'!L$55)*((('[1]A corr.'!$L$2+'6X TPRs'!$B7)/('[1]A corr.'!$L$2+'[1]A corr.'!$L$3))^2)</f>
        <v>1.0516873071083237</v>
      </c>
      <c r="M7" s="16">
        <f>('[1]%DD corr.'!M37/'[1]%DD corr.'!M$57)*('[1]NPSF corr.'!M35/'[1]NPSF corr.'!M$55)*((('[1]A corr.'!$L$2+'6X TPRs'!$B7)/('[1]A corr.'!$L$2+'[1]A corr.'!$L$3))^2)</f>
        <v>1.0489303619033645</v>
      </c>
      <c r="N7" s="15">
        <f>('[1]%DD corr.'!N37/'[1]%DD corr.'!N$57)*('[1]NPSF corr.'!N35/'[1]NPSF corr.'!N$55)*((('[1]A corr.'!$L$2+'6X TPRs'!$B7)/('[1]A corr.'!$L$2+'[1]A corr.'!$L$3))^2)</f>
        <v>1.0474789608266342</v>
      </c>
      <c r="O7" s="16">
        <f>('[1]%DD corr.'!O37/'[1]%DD corr.'!O$57)*('[1]NPSF corr.'!O35/'[1]NPSF corr.'!O$55)*((('[1]A corr.'!$L$2+'6X TPRs'!$B7)/('[1]A corr.'!$L$2+'[1]A corr.'!$L$3))^2)</f>
        <v>1.0460378169620705</v>
      </c>
      <c r="P7" s="15">
        <f>('[1]%DD corr.'!P37/'[1]%DD corr.'!P$57)*('[1]NPSF corr.'!P35/'[1]NPSF corr.'!P$55)*((('[1]A corr.'!$L$2+'6X TPRs'!$B7)/('[1]A corr.'!$L$2+'[1]A corr.'!$L$3))^2)</f>
        <v>1.0425518212239533</v>
      </c>
      <c r="Q7" s="16">
        <f>('[1]%DD corr.'!Q37/'[1]%DD corr.'!Q$57)*('[1]NPSF corr.'!Q35/'[1]NPSF corr.'!Q$55)*((('[1]A corr.'!$L$2+'6X TPRs'!$B7)/('[1]A corr.'!$L$2+'[1]A corr.'!$L$3))^2)</f>
        <v>1.0405020653994379</v>
      </c>
      <c r="R7" s="15">
        <f>('[1]%DD corr.'!R37/'[1]%DD corr.'!R$57)*('[1]NPSF corr.'!R35/'[1]NPSF corr.'!R$55)*((('[1]A corr.'!$L$2+'6X TPRs'!$B7)/('[1]A corr.'!$L$2+'[1]A corr.'!$L$3))^2)</f>
        <v>1.0389258478173102</v>
      </c>
      <c r="S7" s="17">
        <f>('[1]%DD corr.'!S37/'[1]%DD corr.'!S$57)*('[1]NPSF corr.'!S35/'[1]NPSF corr.'!S$55)*((('[1]A corr.'!$L$2+'6X TPRs'!$B7)/('[1]A corr.'!$L$2+'[1]A corr.'!$L$3))^2)</f>
        <v>1.0373722543958928</v>
      </c>
    </row>
    <row r="8" spans="1:19" x14ac:dyDescent="0.25">
      <c r="B8" s="9">
        <v>4</v>
      </c>
      <c r="C8" s="14">
        <f>('[1]%DD corr.'!C47/'[1]%DD corr.'!C$57)*('[1]NPSF corr.'!C45/'[1]NPSF corr.'!C$55)*((('[1]A corr.'!$L$2+'6X TPRs'!$B8)/('[1]A corr.'!$L$2+'[1]A corr.'!$L$3))^2)</f>
        <v>1.0446172556317259</v>
      </c>
      <c r="D8" s="15">
        <f>('[1]%DD corr.'!D47/'[1]%DD corr.'!D$57)*('[1]NPSF corr.'!D45/'[1]NPSF corr.'!D$55)*((('[1]A corr.'!$L$2+'6X TPRs'!$B8)/('[1]A corr.'!$L$2+'[1]A corr.'!$L$3))^2)</f>
        <v>1.04149125548443</v>
      </c>
      <c r="E8" s="16">
        <f>('[1]%DD corr.'!E47/'[1]%DD corr.'!E$57)*('[1]NPSF corr.'!E45/'[1]NPSF corr.'!E$55)*((('[1]A corr.'!$L$2+'6X TPRs'!$B8)/('[1]A corr.'!$L$2+'[1]A corr.'!$L$3))^2)</f>
        <v>1.0389933119180741</v>
      </c>
      <c r="F8" s="15">
        <f>('[1]%DD corr.'!F47/'[1]%DD corr.'!F$57)*('[1]NPSF corr.'!F45/'[1]NPSF corr.'!F$55)*((('[1]A corr.'!$L$2+'6X TPRs'!$B8)/('[1]A corr.'!$L$2+'[1]A corr.'!$L$3))^2)</f>
        <v>1.0363659115808737</v>
      </c>
      <c r="G8" s="16">
        <f>('[1]%DD corr.'!G47/'[1]%DD corr.'!G$57)*('[1]NPSF corr.'!G45/'[1]NPSF corr.'!G$55)*((('[1]A corr.'!$L$2+'6X TPRs'!$B8)/('[1]A corr.'!$L$2+'[1]A corr.'!$L$3))^2)</f>
        <v>1.0342211459190065</v>
      </c>
      <c r="H8" s="15">
        <f>('[1]%DD corr.'!H47/'[1]%DD corr.'!H$57)*('[1]NPSF corr.'!H45/'[1]NPSF corr.'!H$55)*((('[1]A corr.'!$L$2+'6X TPRs'!$B8)/('[1]A corr.'!$L$2+'[1]A corr.'!$L$3))^2)</f>
        <v>1.0323988369097827</v>
      </c>
      <c r="I8" s="16">
        <f>('[1]%DD corr.'!I47/'[1]%DD corr.'!I$57)*('[1]NPSF corr.'!I45/'[1]NPSF corr.'!I$55)*((('[1]A corr.'!$L$2+'6X TPRs'!$B8)/('[1]A corr.'!$L$2+'[1]A corr.'!$L$3))^2)</f>
        <v>1.0310979868414911</v>
      </c>
      <c r="J8" s="15">
        <f>('[1]%DD corr.'!J47/'[1]%DD corr.'!J$57)*('[1]NPSF corr.'!J45/'[1]NPSF corr.'!J$55)*((('[1]A corr.'!$L$2+'6X TPRs'!$B8)/('[1]A corr.'!$L$2+'[1]A corr.'!$L$3))^2)</f>
        <v>1.0301893648155172</v>
      </c>
      <c r="K8" s="16">
        <f>('[1]%DD corr.'!K47/'[1]%DD corr.'!K$57)*('[1]NPSF corr.'!K45/'[1]NPSF corr.'!K$55)*((('[1]A corr.'!$L$2+'6X TPRs'!$B8)/('[1]A corr.'!$L$2+'[1]A corr.'!$L$3))^2)</f>
        <v>1.0284734267167781</v>
      </c>
      <c r="L8" s="15">
        <f>('[1]%DD corr.'!L47/'[1]%DD corr.'!L$57)*('[1]NPSF corr.'!L45/'[1]NPSF corr.'!L$55)*((('[1]A corr.'!$L$2+'6X TPRs'!$B8)/('[1]A corr.'!$L$2+'[1]A corr.'!$L$3))^2)</f>
        <v>1.026864641857415</v>
      </c>
      <c r="M8" s="16">
        <f>('[1]%DD corr.'!M47/'[1]%DD corr.'!M$57)*('[1]NPSF corr.'!M45/'[1]NPSF corr.'!M$55)*((('[1]A corr.'!$L$2+'6X TPRs'!$B8)/('[1]A corr.'!$L$2+'[1]A corr.'!$L$3))^2)</f>
        <v>1.0254358839738358</v>
      </c>
      <c r="N8" s="15">
        <f>('[1]%DD corr.'!N47/'[1]%DD corr.'!N$57)*('[1]NPSF corr.'!N45/'[1]NPSF corr.'!N$55)*((('[1]A corr.'!$L$2+'6X TPRs'!$B8)/('[1]A corr.'!$L$2+'[1]A corr.'!$L$3))^2)</f>
        <v>1.0245667604567792</v>
      </c>
      <c r="O8" s="16">
        <f>('[1]%DD corr.'!O47/'[1]%DD corr.'!O$57)*('[1]NPSF corr.'!O45/'[1]NPSF corr.'!O$55)*((('[1]A corr.'!$L$2+'6X TPRs'!$B8)/('[1]A corr.'!$L$2+'[1]A corr.'!$L$3))^2)</f>
        <v>1.0236205411534325</v>
      </c>
      <c r="P8" s="15">
        <f>('[1]%DD corr.'!P47/'[1]%DD corr.'!P$57)*('[1]NPSF corr.'!P45/'[1]NPSF corr.'!P$55)*((('[1]A corr.'!$L$2+'6X TPRs'!$B8)/('[1]A corr.'!$L$2+'[1]A corr.'!$L$3))^2)</f>
        <v>1.0221086535122346</v>
      </c>
      <c r="Q8" s="16">
        <f>('[1]%DD corr.'!Q47/'[1]%DD corr.'!Q$57)*('[1]NPSF corr.'!Q45/'[1]NPSF corr.'!Q$55)*((('[1]A corr.'!$L$2+'6X TPRs'!$B8)/('[1]A corr.'!$L$2+'[1]A corr.'!$L$3))^2)</f>
        <v>1.0207388273573792</v>
      </c>
      <c r="R8" s="15">
        <f>('[1]%DD corr.'!R47/'[1]%DD corr.'!R$57)*('[1]NPSF corr.'!R45/'[1]NPSF corr.'!R$55)*((('[1]A corr.'!$L$2+'6X TPRs'!$B8)/('[1]A corr.'!$L$2+'[1]A corr.'!$L$3))^2)</f>
        <v>1.0198974500967599</v>
      </c>
      <c r="S8" s="17">
        <f>('[1]%DD corr.'!S47/'[1]%DD corr.'!S$57)*('[1]NPSF corr.'!S45/'[1]NPSF corr.'!S$55)*((('[1]A corr.'!$L$2+'6X TPRs'!$B8)/('[1]A corr.'!$L$2+'[1]A corr.'!$L$3))^2)</f>
        <v>1.0192634138959578</v>
      </c>
    </row>
    <row r="9" spans="1:19" x14ac:dyDescent="0.25">
      <c r="B9" s="9">
        <v>5</v>
      </c>
      <c r="C9" s="14">
        <f>('[1]%DD corr.'!C57/'[1]%DD corr.'!C$57)*('[1]NPSF corr.'!C55/'[1]NPSF corr.'!C$55)*((('[1]A corr.'!$L$2+'6X TPRs'!$B9)/('[1]A corr.'!$L$2+'[1]A corr.'!$L$3))^2)</f>
        <v>1</v>
      </c>
      <c r="D9" s="15">
        <f>('[1]%DD corr.'!D57/'[1]%DD corr.'!D$57)*('[1]NPSF corr.'!D55/'[1]NPSF corr.'!D$55)*((('[1]A corr.'!$L$2+'6X TPRs'!$B9)/('[1]A corr.'!$L$2+'[1]A corr.'!$L$3))^2)</f>
        <v>1</v>
      </c>
      <c r="E9" s="16">
        <f>('[1]%DD corr.'!E57/'[1]%DD corr.'!E$57)*('[1]NPSF corr.'!E55/'[1]NPSF corr.'!E$55)*((('[1]A corr.'!$L$2+'6X TPRs'!$B9)/('[1]A corr.'!$L$2+'[1]A corr.'!$L$3))^2)</f>
        <v>1</v>
      </c>
      <c r="F9" s="15">
        <f>('[1]%DD corr.'!F57/'[1]%DD corr.'!F$57)*('[1]NPSF corr.'!F55/'[1]NPSF corr.'!F$55)*((('[1]A corr.'!$L$2+'6X TPRs'!$B9)/('[1]A corr.'!$L$2+'[1]A corr.'!$L$3))^2)</f>
        <v>1</v>
      </c>
      <c r="G9" s="16">
        <f>('[1]%DD corr.'!G57/'[1]%DD corr.'!G$57)*('[1]NPSF corr.'!G55/'[1]NPSF corr.'!G$55)*((('[1]A corr.'!$L$2+'6X TPRs'!$B9)/('[1]A corr.'!$L$2+'[1]A corr.'!$L$3))^2)</f>
        <v>1</v>
      </c>
      <c r="H9" s="15">
        <f>('[1]%DD corr.'!H57/'[1]%DD corr.'!H$57)*('[1]NPSF corr.'!H55/'[1]NPSF corr.'!H$55)*((('[1]A corr.'!$L$2+'6X TPRs'!$B9)/('[1]A corr.'!$L$2+'[1]A corr.'!$L$3))^2)</f>
        <v>1</v>
      </c>
      <c r="I9" s="16">
        <f>('[1]%DD corr.'!I57/'[1]%DD corr.'!I$57)*('[1]NPSF corr.'!I55/'[1]NPSF corr.'!I$55)*((('[1]A corr.'!$L$2+'6X TPRs'!$B9)/('[1]A corr.'!$L$2+'[1]A corr.'!$L$3))^2)</f>
        <v>1</v>
      </c>
      <c r="J9" s="15">
        <f>('[1]%DD corr.'!J57/'[1]%DD corr.'!J$57)*('[1]NPSF corr.'!J55/'[1]NPSF corr.'!J$55)*((('[1]A corr.'!$L$2+'6X TPRs'!$B9)/('[1]A corr.'!$L$2+'[1]A corr.'!$L$3))^2)</f>
        <v>1</v>
      </c>
      <c r="K9" s="16">
        <f>('[1]%DD corr.'!K57/'[1]%DD corr.'!K$57)*('[1]NPSF corr.'!K55/'[1]NPSF corr.'!K$55)*((('[1]A corr.'!$L$2+'6X TPRs'!$B9)/('[1]A corr.'!$L$2+'[1]A corr.'!$L$3))^2)</f>
        <v>1</v>
      </c>
      <c r="L9" s="15">
        <f>('[1]%DD corr.'!L57/'[1]%DD corr.'!L$57)*('[1]NPSF corr.'!L55/'[1]NPSF corr.'!L$55)*((('[1]A corr.'!$L$2+'6X TPRs'!$B9)/('[1]A corr.'!$L$2+'[1]A corr.'!$L$3))^2)</f>
        <v>1</v>
      </c>
      <c r="M9" s="16">
        <f>('[1]%DD corr.'!M57/'[1]%DD corr.'!M$57)*('[1]NPSF corr.'!M55/'[1]NPSF corr.'!M$55)*((('[1]A corr.'!$L$2+'6X TPRs'!$B9)/('[1]A corr.'!$L$2+'[1]A corr.'!$L$3))^2)</f>
        <v>1</v>
      </c>
      <c r="N9" s="15">
        <f>('[1]%DD corr.'!N57/'[1]%DD corr.'!N$57)*('[1]NPSF corr.'!N55/'[1]NPSF corr.'!N$55)*((('[1]A corr.'!$L$2+'6X TPRs'!$B9)/('[1]A corr.'!$L$2+'[1]A corr.'!$L$3))^2)</f>
        <v>1</v>
      </c>
      <c r="O9" s="16">
        <f>('[1]%DD corr.'!O57/'[1]%DD corr.'!O$57)*('[1]NPSF corr.'!O55/'[1]NPSF corr.'!O$55)*((('[1]A corr.'!$L$2+'6X TPRs'!$B9)/('[1]A corr.'!$L$2+'[1]A corr.'!$L$3))^2)</f>
        <v>1</v>
      </c>
      <c r="P9" s="15">
        <f>('[1]%DD corr.'!P57/'[1]%DD corr.'!P$57)*('[1]NPSF corr.'!P55/'[1]NPSF corr.'!P$55)*((('[1]A corr.'!$L$2+'6X TPRs'!$B9)/('[1]A corr.'!$L$2+'[1]A corr.'!$L$3))^2)</f>
        <v>1</v>
      </c>
      <c r="Q9" s="16">
        <f>('[1]%DD corr.'!Q57/'[1]%DD corr.'!Q$57)*('[1]NPSF corr.'!Q55/'[1]NPSF corr.'!Q$55)*((('[1]A corr.'!$L$2+'6X TPRs'!$B9)/('[1]A corr.'!$L$2+'[1]A corr.'!$L$3))^2)</f>
        <v>1</v>
      </c>
      <c r="R9" s="15">
        <f>('[1]%DD corr.'!R57/'[1]%DD corr.'!R$57)*('[1]NPSF corr.'!R55/'[1]NPSF corr.'!R$55)*((('[1]A corr.'!$L$2+'6X TPRs'!$B9)/('[1]A corr.'!$L$2+'[1]A corr.'!$L$3))^2)</f>
        <v>1</v>
      </c>
      <c r="S9" s="17">
        <f>('[1]%DD corr.'!S57/'[1]%DD corr.'!S$57)*('[1]NPSF corr.'!S55/'[1]NPSF corr.'!S$55)*((('[1]A corr.'!$L$2+'6X TPRs'!$B9)/('[1]A corr.'!$L$2+'[1]A corr.'!$L$3))^2)</f>
        <v>1</v>
      </c>
    </row>
    <row r="10" spans="1:19" x14ac:dyDescent="0.25">
      <c r="B10" s="9">
        <v>6</v>
      </c>
      <c r="C10" s="14">
        <f>('[1]%DD corr.'!C67/'[1]%DD corr.'!C$57)*('[1]NPSF corr.'!C65/'[1]NPSF corr.'!C$55)*((('[1]A corr.'!$L$2+'6X TPRs'!$B10)/('[1]A corr.'!$L$2+'[1]A corr.'!$L$3))^2)</f>
        <v>0.9563265932338253</v>
      </c>
      <c r="D10" s="15">
        <f>('[1]%DD corr.'!D67/'[1]%DD corr.'!D$57)*('[1]NPSF corr.'!D65/'[1]NPSF corr.'!D$55)*((('[1]A corr.'!$L$2+'6X TPRs'!$B10)/('[1]A corr.'!$L$2+'[1]A corr.'!$L$3))^2)</f>
        <v>0.95919302341767265</v>
      </c>
      <c r="E10" s="16">
        <f>('[1]%DD corr.'!E67/'[1]%DD corr.'!E$57)*('[1]NPSF corr.'!E65/'[1]NPSF corr.'!E$55)*((('[1]A corr.'!$L$2+'6X TPRs'!$B10)/('[1]A corr.'!$L$2+'[1]A corr.'!$L$3))^2)</f>
        <v>0.9615094718118965</v>
      </c>
      <c r="F10" s="15">
        <f>('[1]%DD corr.'!F67/'[1]%DD corr.'!F$57)*('[1]NPSF corr.'!F65/'[1]NPSF corr.'!F$55)*((('[1]A corr.'!$L$2+'6X TPRs'!$B10)/('[1]A corr.'!$L$2+'[1]A corr.'!$L$3))^2)</f>
        <v>0.96320340986508923</v>
      </c>
      <c r="G10" s="16">
        <f>('[1]%DD corr.'!G67/'[1]%DD corr.'!G$57)*('[1]NPSF corr.'!G65/'[1]NPSF corr.'!G$55)*((('[1]A corr.'!$L$2+'6X TPRs'!$B10)/('[1]A corr.'!$L$2+'[1]A corr.'!$L$3))^2)</f>
        <v>0.96503068120974134</v>
      </c>
      <c r="H10" s="15">
        <f>('[1]%DD corr.'!H67/'[1]%DD corr.'!H$57)*('[1]NPSF corr.'!H65/'[1]NPSF corr.'!H$55)*((('[1]A corr.'!$L$2+'6X TPRs'!$B10)/('[1]A corr.'!$L$2+'[1]A corr.'!$L$3))^2)</f>
        <v>0.96622914203343324</v>
      </c>
      <c r="I10" s="16">
        <f>('[1]%DD corr.'!I67/'[1]%DD corr.'!I$57)*('[1]NPSF corr.'!I65/'[1]NPSF corr.'!I$55)*((('[1]A corr.'!$L$2+'6X TPRs'!$B10)/('[1]A corr.'!$L$2+'[1]A corr.'!$L$3))^2)</f>
        <v>0.96713852436231063</v>
      </c>
      <c r="J10" s="15">
        <f>('[1]%DD corr.'!J67/'[1]%DD corr.'!J$57)*('[1]NPSF corr.'!J65/'[1]NPSF corr.'!J$55)*((('[1]A corr.'!$L$2+'6X TPRs'!$B10)/('[1]A corr.'!$L$2+'[1]A corr.'!$L$3))^2)</f>
        <v>0.96819279372523914</v>
      </c>
      <c r="K10" s="16">
        <f>('[1]%DD corr.'!K67/'[1]%DD corr.'!K$57)*('[1]NPSF corr.'!K65/'[1]NPSF corr.'!K$55)*((('[1]A corr.'!$L$2+'6X TPRs'!$B10)/('[1]A corr.'!$L$2+'[1]A corr.'!$L$3))^2)</f>
        <v>0.97008389363875769</v>
      </c>
      <c r="L10" s="15">
        <f>('[1]%DD corr.'!L67/'[1]%DD corr.'!L$57)*('[1]NPSF corr.'!L65/'[1]NPSF corr.'!L$55)*((('[1]A corr.'!$L$2+'6X TPRs'!$B10)/('[1]A corr.'!$L$2+'[1]A corr.'!$L$3))^2)</f>
        <v>0.97132395545346784</v>
      </c>
      <c r="M10" s="16">
        <f>('[1]%DD corr.'!M67/'[1]%DD corr.'!M$57)*('[1]NPSF corr.'!M65/'[1]NPSF corr.'!M$55)*((('[1]A corr.'!$L$2+'6X TPRs'!$B10)/('[1]A corr.'!$L$2+'[1]A corr.'!$L$3))^2)</f>
        <v>0.97247354466813074</v>
      </c>
      <c r="N10" s="15">
        <f>('[1]%DD corr.'!N67/'[1]%DD corr.'!N$57)*('[1]NPSF corr.'!N65/'[1]NPSF corr.'!N$55)*((('[1]A corr.'!$L$2+'6X TPRs'!$B10)/('[1]A corr.'!$L$2+'[1]A corr.'!$L$3))^2)</f>
        <v>0.97363292970300253</v>
      </c>
      <c r="O10" s="16">
        <f>('[1]%DD corr.'!O67/'[1]%DD corr.'!O$57)*('[1]NPSF corr.'!O65/'[1]NPSF corr.'!O$55)*((('[1]A corr.'!$L$2+'6X TPRs'!$B10)/('[1]A corr.'!$L$2+'[1]A corr.'!$L$3))^2)</f>
        <v>0.97469162908372731</v>
      </c>
      <c r="P10" s="15">
        <f>('[1]%DD corr.'!P67/'[1]%DD corr.'!P$57)*('[1]NPSF corr.'!P65/'[1]NPSF corr.'!P$55)*((('[1]A corr.'!$L$2+'6X TPRs'!$B10)/('[1]A corr.'!$L$2+'[1]A corr.'!$L$3))^2)</f>
        <v>0.97656962012032766</v>
      </c>
      <c r="Q10" s="16">
        <f>('[1]%DD corr.'!Q67/'[1]%DD corr.'!Q$57)*('[1]NPSF corr.'!Q65/'[1]NPSF corr.'!Q$55)*((('[1]A corr.'!$L$2+'6X TPRs'!$B10)/('[1]A corr.'!$L$2+'[1]A corr.'!$L$3))^2)</f>
        <v>0.97754747864334712</v>
      </c>
      <c r="R10" s="15">
        <f>('[1]%DD corr.'!R67/'[1]%DD corr.'!R$57)*('[1]NPSF corr.'!R65/'[1]NPSF corr.'!R$55)*((('[1]A corr.'!$L$2+'6X TPRs'!$B10)/('[1]A corr.'!$L$2+'[1]A corr.'!$L$3))^2)</f>
        <v>0.97840599745950529</v>
      </c>
      <c r="S10" s="17">
        <f>('[1]%DD corr.'!S67/'[1]%DD corr.'!S$57)*('[1]NPSF corr.'!S65/'[1]NPSF corr.'!S$55)*((('[1]A corr.'!$L$2+'6X TPRs'!$B10)/('[1]A corr.'!$L$2+'[1]A corr.'!$L$3))^2)</f>
        <v>0.97920621706823219</v>
      </c>
    </row>
    <row r="11" spans="1:19" x14ac:dyDescent="0.25">
      <c r="B11" s="9">
        <v>7</v>
      </c>
      <c r="C11" s="14">
        <f>('[1]%DD corr.'!C77/'[1]%DD corr.'!C$57)*('[1]NPSF corr.'!C75/'[1]NPSF corr.'!C$55)*((('[1]A corr.'!$L$2+'6X TPRs'!$B11)/('[1]A corr.'!$L$2+'[1]A corr.'!$L$3))^2)</f>
        <v>0.91405417955206159</v>
      </c>
      <c r="D11" s="15">
        <f>('[1]%DD corr.'!D77/'[1]%DD corr.'!D$57)*('[1]NPSF corr.'!D75/'[1]NPSF corr.'!D$55)*((('[1]A corr.'!$L$2+'6X TPRs'!$B11)/('[1]A corr.'!$L$2+'[1]A corr.'!$L$3))^2)</f>
        <v>0.91942588558207028</v>
      </c>
      <c r="E11" s="16">
        <f>('[1]%DD corr.'!E77/'[1]%DD corr.'!E$57)*('[1]NPSF corr.'!E75/'[1]NPSF corr.'!E$55)*((('[1]A corr.'!$L$2+'6X TPRs'!$B11)/('[1]A corr.'!$L$2+'[1]A corr.'!$L$3))^2)</f>
        <v>0.92358638088654099</v>
      </c>
      <c r="F11" s="15">
        <f>('[1]%DD corr.'!F77/'[1]%DD corr.'!F$57)*('[1]NPSF corr.'!F75/'[1]NPSF corr.'!F$55)*((('[1]A corr.'!$L$2+'6X TPRs'!$B11)/('[1]A corr.'!$L$2+'[1]A corr.'!$L$3))^2)</f>
        <v>0.92615643290512384</v>
      </c>
      <c r="G11" s="16">
        <f>('[1]%DD corr.'!G77/'[1]%DD corr.'!G$57)*('[1]NPSF corr.'!G75/'[1]NPSF corr.'!G$55)*((('[1]A corr.'!$L$2+'6X TPRs'!$B11)/('[1]A corr.'!$L$2+'[1]A corr.'!$L$3))^2)</f>
        <v>0.92928670037048611</v>
      </c>
      <c r="H11" s="15">
        <f>('[1]%DD corr.'!H77/'[1]%DD corr.'!H$57)*('[1]NPSF corr.'!H75/'[1]NPSF corr.'!H$55)*((('[1]A corr.'!$L$2+'6X TPRs'!$B11)/('[1]A corr.'!$L$2+'[1]A corr.'!$L$3))^2)</f>
        <v>0.93220860329439981</v>
      </c>
      <c r="I11" s="16">
        <f>('[1]%DD corr.'!I77/'[1]%DD corr.'!I$57)*('[1]NPSF corr.'!I75/'[1]NPSF corr.'!I$55)*((('[1]A corr.'!$L$2+'6X TPRs'!$B11)/('[1]A corr.'!$L$2+'[1]A corr.'!$L$3))^2)</f>
        <v>0.93437734153485352</v>
      </c>
      <c r="J11" s="15">
        <f>('[1]%DD corr.'!J77/'[1]%DD corr.'!J$57)*('[1]NPSF corr.'!J75/'[1]NPSF corr.'!J$55)*((('[1]A corr.'!$L$2+'6X TPRs'!$B11)/('[1]A corr.'!$L$2+'[1]A corr.'!$L$3))^2)</f>
        <v>0.93633034561060491</v>
      </c>
      <c r="K11" s="16">
        <f>('[1]%DD corr.'!K77/'[1]%DD corr.'!K$57)*('[1]NPSF corr.'!K75/'[1]NPSF corr.'!K$55)*((('[1]A corr.'!$L$2+'6X TPRs'!$B11)/('[1]A corr.'!$L$2+'[1]A corr.'!$L$3))^2)</f>
        <v>0.93981736505410018</v>
      </c>
      <c r="L11" s="15">
        <f>('[1]%DD corr.'!L77/'[1]%DD corr.'!L$57)*('[1]NPSF corr.'!L75/'[1]NPSF corr.'!L$55)*((('[1]A corr.'!$L$2+'6X TPRs'!$B11)/('[1]A corr.'!$L$2+'[1]A corr.'!$L$3))^2)</f>
        <v>0.94254148863906395</v>
      </c>
      <c r="M11" s="16">
        <f>('[1]%DD corr.'!M77/'[1]%DD corr.'!M$57)*('[1]NPSF corr.'!M75/'[1]NPSF corr.'!M$55)*((('[1]A corr.'!$L$2+'6X TPRs'!$B11)/('[1]A corr.'!$L$2+'[1]A corr.'!$L$3))^2)</f>
        <v>0.94492579508071473</v>
      </c>
      <c r="N11" s="15">
        <f>('[1]%DD corr.'!N77/'[1]%DD corr.'!N$57)*('[1]NPSF corr.'!N75/'[1]NPSF corr.'!N$55)*((('[1]A corr.'!$L$2+'6X TPRs'!$B11)/('[1]A corr.'!$L$2+'[1]A corr.'!$L$3))^2)</f>
        <v>0.94691973749807479</v>
      </c>
      <c r="O11" s="16">
        <f>('[1]%DD corr.'!O77/'[1]%DD corr.'!O$57)*('[1]NPSF corr.'!O75/'[1]NPSF corr.'!O$55)*((('[1]A corr.'!$L$2+'6X TPRs'!$B11)/('[1]A corr.'!$L$2+'[1]A corr.'!$L$3))^2)</f>
        <v>0.9487345834493488</v>
      </c>
      <c r="P11" s="15">
        <f>('[1]%DD corr.'!P77/'[1]%DD corr.'!P$57)*('[1]NPSF corr.'!P75/'[1]NPSF corr.'!P$55)*((('[1]A corr.'!$L$2+'6X TPRs'!$B11)/('[1]A corr.'!$L$2+'[1]A corr.'!$L$3))^2)</f>
        <v>0.95216282375185357</v>
      </c>
      <c r="Q11" s="16">
        <f>('[1]%DD corr.'!Q77/'[1]%DD corr.'!Q$57)*('[1]NPSF corr.'!Q75/'[1]NPSF corr.'!Q$55)*((('[1]A corr.'!$L$2+'6X TPRs'!$B11)/('[1]A corr.'!$L$2+'[1]A corr.'!$L$3))^2)</f>
        <v>0.9544811623459879</v>
      </c>
      <c r="R11" s="15">
        <f>('[1]%DD corr.'!R77/'[1]%DD corr.'!R$57)*('[1]NPSF corr.'!R75/'[1]NPSF corr.'!R$55)*((('[1]A corr.'!$L$2+'6X TPRs'!$B11)/('[1]A corr.'!$L$2+'[1]A corr.'!$L$3))^2)</f>
        <v>0.95624325260260568</v>
      </c>
      <c r="S11" s="17">
        <f>('[1]%DD corr.'!S77/'[1]%DD corr.'!S$57)*('[1]NPSF corr.'!S75/'[1]NPSF corr.'!S$55)*((('[1]A corr.'!$L$2+'6X TPRs'!$B11)/('[1]A corr.'!$L$2+'[1]A corr.'!$L$3))^2)</f>
        <v>0.95765345079676134</v>
      </c>
    </row>
    <row r="12" spans="1:19" x14ac:dyDescent="0.25">
      <c r="B12" s="9">
        <v>8</v>
      </c>
      <c r="C12" s="14">
        <f>('[1]%DD corr.'!C87/'[1]%DD corr.'!C$57)*('[1]NPSF corr.'!C85/'[1]NPSF corr.'!C$55)*((('[1]A corr.'!$L$2+'6X TPRs'!$B12)/('[1]A corr.'!$L$2+'[1]A corr.'!$L$3))^2)</f>
        <v>0.87280057953101953</v>
      </c>
      <c r="D12" s="15">
        <f>('[1]%DD corr.'!D87/'[1]%DD corr.'!D$57)*('[1]NPSF corr.'!D85/'[1]NPSF corr.'!D$55)*((('[1]A corr.'!$L$2+'6X TPRs'!$B12)/('[1]A corr.'!$L$2+'[1]A corr.'!$L$3))^2)</f>
        <v>0.87962281673089737</v>
      </c>
      <c r="E12" s="16">
        <f>('[1]%DD corr.'!E87/'[1]%DD corr.'!E$57)*('[1]NPSF corr.'!E85/'[1]NPSF corr.'!E$55)*((('[1]A corr.'!$L$2+'6X TPRs'!$B12)/('[1]A corr.'!$L$2+'[1]A corr.'!$L$3))^2)</f>
        <v>0.8850471870401454</v>
      </c>
      <c r="F12" s="15">
        <f>('[1]%DD corr.'!F87/'[1]%DD corr.'!F$57)*('[1]NPSF corr.'!F85/'[1]NPSF corr.'!F$55)*((('[1]A corr.'!$L$2+'6X TPRs'!$B12)/('[1]A corr.'!$L$2+'[1]A corr.'!$L$3))^2)</f>
        <v>0.88944801880129976</v>
      </c>
      <c r="G12" s="16">
        <f>('[1]%DD corr.'!G87/'[1]%DD corr.'!G$57)*('[1]NPSF corr.'!G85/'[1]NPSF corr.'!G$55)*((('[1]A corr.'!$L$2+'6X TPRs'!$B12)/('[1]A corr.'!$L$2+'[1]A corr.'!$L$3))^2)</f>
        <v>0.89396432622175726</v>
      </c>
      <c r="H12" s="15">
        <f>('[1]%DD corr.'!H87/'[1]%DD corr.'!H$57)*('[1]NPSF corr.'!H85/'[1]NPSF corr.'!H$55)*((('[1]A corr.'!$L$2+'6X TPRs'!$B12)/('[1]A corr.'!$L$2+'[1]A corr.'!$L$3))^2)</f>
        <v>0.89813513400650491</v>
      </c>
      <c r="I12" s="16">
        <f>('[1]%DD corr.'!I87/'[1]%DD corr.'!I$57)*('[1]NPSF corr.'!I85/'[1]NPSF corr.'!I$55)*((('[1]A corr.'!$L$2+'6X TPRs'!$B12)/('[1]A corr.'!$L$2+'[1]A corr.'!$L$3))^2)</f>
        <v>0.90166154407812316</v>
      </c>
      <c r="J12" s="15">
        <f>('[1]%DD corr.'!J87/'[1]%DD corr.'!J$57)*('[1]NPSF corr.'!J85/'[1]NPSF corr.'!J$55)*((('[1]A corr.'!$L$2+'6X TPRs'!$B12)/('[1]A corr.'!$L$2+'[1]A corr.'!$L$3))^2)</f>
        <v>0.90430183103474782</v>
      </c>
      <c r="K12" s="16">
        <f>('[1]%DD corr.'!K87/'[1]%DD corr.'!K$57)*('[1]NPSF corr.'!K85/'[1]NPSF corr.'!K$55)*((('[1]A corr.'!$L$2+'6X TPRs'!$B12)/('[1]A corr.'!$L$2+'[1]A corr.'!$L$3))^2)</f>
        <v>0.90933598399105109</v>
      </c>
      <c r="L12" s="15">
        <f>('[1]%DD corr.'!L87/'[1]%DD corr.'!L$57)*('[1]NPSF corr.'!L85/'[1]NPSF corr.'!L$55)*((('[1]A corr.'!$L$2+'6X TPRs'!$B12)/('[1]A corr.'!$L$2+'[1]A corr.'!$L$3))^2)</f>
        <v>0.91351626211850812</v>
      </c>
      <c r="M12" s="16">
        <f>('[1]%DD corr.'!M87/'[1]%DD corr.'!M$57)*('[1]NPSF corr.'!M85/'[1]NPSF corr.'!M$55)*((('[1]A corr.'!$L$2+'6X TPRs'!$B12)/('[1]A corr.'!$L$2+'[1]A corr.'!$L$3))^2)</f>
        <v>0.91703205436807045</v>
      </c>
      <c r="N12" s="15">
        <f>('[1]%DD corr.'!N87/'[1]%DD corr.'!N$57)*('[1]NPSF corr.'!N85/'[1]NPSF corr.'!N$55)*((('[1]A corr.'!$L$2+'6X TPRs'!$B12)/('[1]A corr.'!$L$2+'[1]A corr.'!$L$3))^2)</f>
        <v>0.92004374216839246</v>
      </c>
      <c r="O12" s="16">
        <f>('[1]%DD corr.'!O87/'[1]%DD corr.'!O$57)*('[1]NPSF corr.'!O85/'[1]NPSF corr.'!O$55)*((('[1]A corr.'!$L$2+'6X TPRs'!$B12)/('[1]A corr.'!$L$2+'[1]A corr.'!$L$3))^2)</f>
        <v>0.92268195379084994</v>
      </c>
      <c r="P12" s="15">
        <f>('[1]%DD corr.'!P87/'[1]%DD corr.'!P$57)*('[1]NPSF corr.'!P85/'[1]NPSF corr.'!P$55)*((('[1]A corr.'!$L$2+'6X TPRs'!$B12)/('[1]A corr.'!$L$2+'[1]A corr.'!$L$3))^2)</f>
        <v>0.92773735339141239</v>
      </c>
      <c r="Q12" s="16">
        <f>('[1]%DD corr.'!Q87/'[1]%DD corr.'!Q$57)*('[1]NPSF corr.'!Q85/'[1]NPSF corr.'!Q$55)*((('[1]A corr.'!$L$2+'6X TPRs'!$B12)/('[1]A corr.'!$L$2+'[1]A corr.'!$L$3))^2)</f>
        <v>0.93082369198402304</v>
      </c>
      <c r="R12" s="15">
        <f>('[1]%DD corr.'!R87/'[1]%DD corr.'!R$57)*('[1]NPSF corr.'!R85/'[1]NPSF corr.'!R$55)*((('[1]A corr.'!$L$2+'6X TPRs'!$B12)/('[1]A corr.'!$L$2+'[1]A corr.'!$L$3))^2)</f>
        <v>0.93340617154272354</v>
      </c>
      <c r="S12" s="17">
        <f>('[1]%DD corr.'!S87/'[1]%DD corr.'!S$57)*('[1]NPSF corr.'!S85/'[1]NPSF corr.'!S$55)*((('[1]A corr.'!$L$2+'6X TPRs'!$B12)/('[1]A corr.'!$L$2+'[1]A corr.'!$L$3))^2)</f>
        <v>0.9358140672856039</v>
      </c>
    </row>
    <row r="13" spans="1:19" x14ac:dyDescent="0.25">
      <c r="B13" s="9">
        <v>9</v>
      </c>
      <c r="C13" s="14">
        <f>('[1]%DD corr.'!C97/'[1]%DD corr.'!C$57)*('[1]NPSF corr.'!C95/'[1]NPSF corr.'!C$55)*((('[1]A corr.'!$L$2+'6X TPRs'!$B13)/('[1]A corr.'!$L$2+'[1]A corr.'!$L$3))^2)</f>
        <v>0.83428747058003361</v>
      </c>
      <c r="D13" s="15">
        <f>('[1]%DD corr.'!D97/'[1]%DD corr.'!D$57)*('[1]NPSF corr.'!D95/'[1]NPSF corr.'!D$55)*((('[1]A corr.'!$L$2+'6X TPRs'!$B13)/('[1]A corr.'!$L$2+'[1]A corr.'!$L$3))^2)</f>
        <v>0.84170426232254913</v>
      </c>
      <c r="E13" s="16">
        <f>('[1]%DD corr.'!E97/'[1]%DD corr.'!E$57)*('[1]NPSF corr.'!E95/'[1]NPSF corr.'!E$55)*((('[1]A corr.'!$L$2+'6X TPRs'!$B13)/('[1]A corr.'!$L$2+'[1]A corr.'!$L$3))^2)</f>
        <v>0.84727655012616365</v>
      </c>
      <c r="F13" s="15">
        <f>('[1]%DD corr.'!F97/'[1]%DD corr.'!F$57)*('[1]NPSF corr.'!F95/'[1]NPSF corr.'!F$55)*((('[1]A corr.'!$L$2+'6X TPRs'!$B13)/('[1]A corr.'!$L$2+'[1]A corr.'!$L$3))^2)</f>
        <v>0.85282653469410619</v>
      </c>
      <c r="G13" s="16">
        <f>('[1]%DD corr.'!G97/'[1]%DD corr.'!G$57)*('[1]NPSF corr.'!G95/'[1]NPSF corr.'!G$55)*((('[1]A corr.'!$L$2+'6X TPRs'!$B13)/('[1]A corr.'!$L$2+'[1]A corr.'!$L$3))^2)</f>
        <v>0.85892438912586588</v>
      </c>
      <c r="H13" s="15">
        <f>('[1]%DD corr.'!H97/'[1]%DD corr.'!H$57)*('[1]NPSF corr.'!H95/'[1]NPSF corr.'!H$55)*((('[1]A corr.'!$L$2+'6X TPRs'!$B13)/('[1]A corr.'!$L$2+'[1]A corr.'!$L$3))^2)</f>
        <v>0.86400397124058304</v>
      </c>
      <c r="I13" s="16">
        <f>('[1]%DD corr.'!I97/'[1]%DD corr.'!I$57)*('[1]NPSF corr.'!I95/'[1]NPSF corr.'!I$55)*((('[1]A corr.'!$L$2+'6X TPRs'!$B13)/('[1]A corr.'!$L$2+'[1]A corr.'!$L$3))^2)</f>
        <v>0.8681864841740079</v>
      </c>
      <c r="J13" s="15">
        <f>('[1]%DD corr.'!J97/'[1]%DD corr.'!J$57)*('[1]NPSF corr.'!J95/'[1]NPSF corr.'!J$55)*((('[1]A corr.'!$L$2+'6X TPRs'!$B13)/('[1]A corr.'!$L$2+'[1]A corr.'!$L$3))^2)</f>
        <v>0.87198830333569066</v>
      </c>
      <c r="K13" s="16">
        <f>('[1]%DD corr.'!K97/'[1]%DD corr.'!K$57)*('[1]NPSF corr.'!K95/'[1]NPSF corr.'!K$55)*((('[1]A corr.'!$L$2+'6X TPRs'!$B13)/('[1]A corr.'!$L$2+'[1]A corr.'!$L$3))^2)</f>
        <v>0.87873638997925563</v>
      </c>
      <c r="L13" s="15">
        <f>('[1]%DD corr.'!L97/'[1]%DD corr.'!L$57)*('[1]NPSF corr.'!L95/'[1]NPSF corr.'!L$55)*((('[1]A corr.'!$L$2+'6X TPRs'!$B13)/('[1]A corr.'!$L$2+'[1]A corr.'!$L$3))^2)</f>
        <v>0.88414972049800733</v>
      </c>
      <c r="M13" s="16">
        <f>('[1]%DD corr.'!M97/'[1]%DD corr.'!M$57)*('[1]NPSF corr.'!M95/'[1]NPSF corr.'!M$55)*((('[1]A corr.'!$L$2+'6X TPRs'!$B13)/('[1]A corr.'!$L$2+'[1]A corr.'!$L$3))^2)</f>
        <v>0.88863205807430912</v>
      </c>
      <c r="N13" s="15">
        <f>('[1]%DD corr.'!N97/'[1]%DD corr.'!N$57)*('[1]NPSF corr.'!N95/'[1]NPSF corr.'!N$55)*((('[1]A corr.'!$L$2+'6X TPRs'!$B13)/('[1]A corr.'!$L$2+'[1]A corr.'!$L$3))^2)</f>
        <v>0.8924696787924582</v>
      </c>
      <c r="O13" s="16">
        <f>('[1]%DD corr.'!O97/'[1]%DD corr.'!O$57)*('[1]NPSF corr.'!O95/'[1]NPSF corr.'!O$55)*((('[1]A corr.'!$L$2+'6X TPRs'!$B13)/('[1]A corr.'!$L$2+'[1]A corr.'!$L$3))^2)</f>
        <v>0.89560937068836499</v>
      </c>
      <c r="P13" s="15">
        <f>('[1]%DD corr.'!P97/'[1]%DD corr.'!P$57)*('[1]NPSF corr.'!P95/'[1]NPSF corr.'!P$55)*((('[1]A corr.'!$L$2+'6X TPRs'!$B13)/('[1]A corr.'!$L$2+'[1]A corr.'!$L$3))^2)</f>
        <v>0.90259177484004471</v>
      </c>
      <c r="Q13" s="16">
        <f>('[1]%DD corr.'!Q97/'[1]%DD corr.'!Q$57)*('[1]NPSF corr.'!Q95/'[1]NPSF corr.'!Q$55)*((('[1]A corr.'!$L$2+'6X TPRs'!$B13)/('[1]A corr.'!$L$2+'[1]A corr.'!$L$3))^2)</f>
        <v>0.90731022688475604</v>
      </c>
      <c r="R13" s="15">
        <f>('[1]%DD corr.'!R97/'[1]%DD corr.'!R$57)*('[1]NPSF corr.'!R95/'[1]NPSF corr.'!R$55)*((('[1]A corr.'!$L$2+'6X TPRs'!$B13)/('[1]A corr.'!$L$2+'[1]A corr.'!$L$3))^2)</f>
        <v>0.91087854678874502</v>
      </c>
      <c r="S13" s="17">
        <f>('[1]%DD corr.'!S97/'[1]%DD corr.'!S$57)*('[1]NPSF corr.'!S95/'[1]NPSF corr.'!S$55)*((('[1]A corr.'!$L$2+'6X TPRs'!$B13)/('[1]A corr.'!$L$2+'[1]A corr.'!$L$3))^2)</f>
        <v>0.91389130059884416</v>
      </c>
    </row>
    <row r="14" spans="1:19" x14ac:dyDescent="0.25">
      <c r="B14" s="9">
        <v>10</v>
      </c>
      <c r="C14" s="14">
        <f>('[1]%DD corr.'!C107/'[1]%DD corr.'!C$57)*('[1]NPSF corr.'!C105/'[1]NPSF corr.'!C$55)*((('[1]A corr.'!$L$2+'6X TPRs'!$B14)/('[1]A corr.'!$L$2+'[1]A corr.'!$L$3))^2)</f>
        <v>0.79669213039098141</v>
      </c>
      <c r="D14" s="15">
        <f>('[1]%DD corr.'!D107/'[1]%DD corr.'!D$57)*('[1]NPSF corr.'!D105/'[1]NPSF corr.'!D$55)*((('[1]A corr.'!$L$2+'6X TPRs'!$B14)/('[1]A corr.'!$L$2+'[1]A corr.'!$L$3))^2)</f>
        <v>0.80530494030857536</v>
      </c>
      <c r="E14" s="16">
        <f>('[1]%DD corr.'!E107/'[1]%DD corr.'!E$57)*('[1]NPSF corr.'!E105/'[1]NPSF corr.'!E$55)*((('[1]A corr.'!$L$2+'6X TPRs'!$B14)/('[1]A corr.'!$L$2+'[1]A corr.'!$L$3))^2)</f>
        <v>0.81155689606745551</v>
      </c>
      <c r="F14" s="15">
        <f>('[1]%DD corr.'!F107/'[1]%DD corr.'!F$57)*('[1]NPSF corr.'!F105/'[1]NPSF corr.'!F$55)*((('[1]A corr.'!$L$2+'6X TPRs'!$B14)/('[1]A corr.'!$L$2+'[1]A corr.'!$L$3))^2)</f>
        <v>0.81751624498264863</v>
      </c>
      <c r="G14" s="16">
        <f>('[1]%DD corr.'!G107/'[1]%DD corr.'!G$57)*('[1]NPSF corr.'!G105/'[1]NPSF corr.'!G$55)*((('[1]A corr.'!$L$2+'6X TPRs'!$B14)/('[1]A corr.'!$L$2+'[1]A corr.'!$L$3))^2)</f>
        <v>0.82453911017716808</v>
      </c>
      <c r="H14" s="15">
        <f>('[1]%DD corr.'!H107/'[1]%DD corr.'!H$57)*('[1]NPSF corr.'!H105/'[1]NPSF corr.'!H$55)*((('[1]A corr.'!$L$2+'6X TPRs'!$B14)/('[1]A corr.'!$L$2+'[1]A corr.'!$L$3))^2)</f>
        <v>0.83077740633043173</v>
      </c>
      <c r="I14" s="16">
        <f>('[1]%DD corr.'!I107/'[1]%DD corr.'!I$57)*('[1]NPSF corr.'!I105/'[1]NPSF corr.'!I$55)*((('[1]A corr.'!$L$2+'6X TPRs'!$B14)/('[1]A corr.'!$L$2+'[1]A corr.'!$L$3))^2)</f>
        <v>0.83546937826594947</v>
      </c>
      <c r="J14" s="15">
        <f>('[1]%DD corr.'!J107/'[1]%DD corr.'!J$57)*('[1]NPSF corr.'!J105/'[1]NPSF corr.'!J$55)*((('[1]A corr.'!$L$2+'6X TPRs'!$B14)/('[1]A corr.'!$L$2+'[1]A corr.'!$L$3))^2)</f>
        <v>0.8399987403338639</v>
      </c>
      <c r="K14" s="16">
        <f>('[1]%DD corr.'!K107/'[1]%DD corr.'!K$57)*('[1]NPSF corr.'!K105/'[1]NPSF corr.'!K$55)*((('[1]A corr.'!$L$2+'6X TPRs'!$B14)/('[1]A corr.'!$L$2+'[1]A corr.'!$L$3))^2)</f>
        <v>0.84802824139955557</v>
      </c>
      <c r="L14" s="15">
        <f>('[1]%DD corr.'!L107/'[1]%DD corr.'!L$57)*('[1]NPSF corr.'!L105/'[1]NPSF corr.'!L$55)*((('[1]A corr.'!$L$2+'6X TPRs'!$B14)/('[1]A corr.'!$L$2+'[1]A corr.'!$L$3))^2)</f>
        <v>0.85438301553726015</v>
      </c>
      <c r="M14" s="16">
        <f>('[1]%DD corr.'!M107/'[1]%DD corr.'!M$57)*('[1]NPSF corr.'!M105/'[1]NPSF corr.'!M$55)*((('[1]A corr.'!$L$2+'6X TPRs'!$B14)/('[1]A corr.'!$L$2+'[1]A corr.'!$L$3))^2)</f>
        <v>0.85968618574203626</v>
      </c>
      <c r="N14" s="15">
        <f>('[1]%DD corr.'!N107/'[1]%DD corr.'!N$57)*('[1]NPSF corr.'!N105/'[1]NPSF corr.'!N$55)*((('[1]A corr.'!$L$2+'6X TPRs'!$B14)/('[1]A corr.'!$L$2+'[1]A corr.'!$L$3))^2)</f>
        <v>0.8645455068112009</v>
      </c>
      <c r="O14" s="16">
        <f>('[1]%DD corr.'!O107/'[1]%DD corr.'!O$57)*('[1]NPSF corr.'!O105/'[1]NPSF corr.'!O$55)*((('[1]A corr.'!$L$2+'6X TPRs'!$B14)/('[1]A corr.'!$L$2+'[1]A corr.'!$L$3))^2)</f>
        <v>0.86842566502202978</v>
      </c>
      <c r="P14" s="15">
        <f>('[1]%DD corr.'!P107/'[1]%DD corr.'!P$57)*('[1]NPSF corr.'!P105/'[1]NPSF corr.'!P$55)*((('[1]A corr.'!$L$2+'6X TPRs'!$B14)/('[1]A corr.'!$L$2+'[1]A corr.'!$L$3))^2)</f>
        <v>0.87719159583662798</v>
      </c>
      <c r="Q14" s="16">
        <f>('[1]%DD corr.'!Q107/'[1]%DD corr.'!Q$57)*('[1]NPSF corr.'!Q105/'[1]NPSF corr.'!Q$55)*((('[1]A corr.'!$L$2+'6X TPRs'!$B14)/('[1]A corr.'!$L$2+'[1]A corr.'!$L$3))^2)</f>
        <v>0.88317999992908025</v>
      </c>
      <c r="R14" s="15">
        <f>('[1]%DD corr.'!R107/'[1]%DD corr.'!R$57)*('[1]NPSF corr.'!R105/'[1]NPSF corr.'!R$55)*((('[1]A corr.'!$L$2+'6X TPRs'!$B14)/('[1]A corr.'!$L$2+'[1]A corr.'!$L$3))^2)</f>
        <v>0.88763189967721257</v>
      </c>
      <c r="S14" s="17">
        <f>('[1]%DD corr.'!S107/'[1]%DD corr.'!S$57)*('[1]NPSF corr.'!S105/'[1]NPSF corr.'!S$55)*((('[1]A corr.'!$L$2+'6X TPRs'!$B14)/('[1]A corr.'!$L$2+'[1]A corr.'!$L$3))^2)</f>
        <v>0.89117414477932566</v>
      </c>
    </row>
    <row r="15" spans="1:19" x14ac:dyDescent="0.25">
      <c r="B15" s="9">
        <v>11</v>
      </c>
      <c r="C15" s="14">
        <f>('[1]%DD corr.'!C117/'[1]%DD corr.'!C$57)*('[1]NPSF corr.'!C115/'[1]NPSF corr.'!C$55)*((('[1]A corr.'!$L$2+'6X TPRs'!$B15)/('[1]A corr.'!$L$2+'[1]A corr.'!$L$3))^2)</f>
        <v>0.76046430835644141</v>
      </c>
      <c r="D15" s="15">
        <f>('[1]%DD corr.'!D117/'[1]%DD corr.'!D$57)*('[1]NPSF corr.'!D115/'[1]NPSF corr.'!D$55)*((('[1]A corr.'!$L$2+'6X TPRs'!$B15)/('[1]A corr.'!$L$2+'[1]A corr.'!$L$3))^2)</f>
        <v>0.76956703288386397</v>
      </c>
      <c r="E15" s="16">
        <f>('[1]%DD corr.'!E117/'[1]%DD corr.'!E$57)*('[1]NPSF corr.'!E115/'[1]NPSF corr.'!E$55)*((('[1]A corr.'!$L$2+'6X TPRs'!$B15)/('[1]A corr.'!$L$2+'[1]A corr.'!$L$3))^2)</f>
        <v>0.77686517357520235</v>
      </c>
      <c r="F15" s="15">
        <f>('[1]%DD corr.'!F117/'[1]%DD corr.'!F$57)*('[1]NPSF corr.'!F115/'[1]NPSF corr.'!F$55)*((('[1]A corr.'!$L$2+'6X TPRs'!$B15)/('[1]A corr.'!$L$2+'[1]A corr.'!$L$3))^2)</f>
        <v>0.78377663929382335</v>
      </c>
      <c r="G15" s="16">
        <f>('[1]%DD corr.'!G117/'[1]%DD corr.'!G$57)*('[1]NPSF corr.'!G115/'[1]NPSF corr.'!G$55)*((('[1]A corr.'!$L$2+'6X TPRs'!$B15)/('[1]A corr.'!$L$2+'[1]A corr.'!$L$3))^2)</f>
        <v>0.79105589134435117</v>
      </c>
      <c r="H15" s="15">
        <f>('[1]%DD corr.'!H117/'[1]%DD corr.'!H$57)*('[1]NPSF corr.'!H115/'[1]NPSF corr.'!H$55)*((('[1]A corr.'!$L$2+'6X TPRs'!$B15)/('[1]A corr.'!$L$2+'[1]A corr.'!$L$3))^2)</f>
        <v>0.79789222410561433</v>
      </c>
      <c r="I15" s="16">
        <f>('[1]%DD corr.'!I117/'[1]%DD corr.'!I$57)*('[1]NPSF corr.'!I115/'[1]NPSF corr.'!I$55)*((('[1]A corr.'!$L$2+'6X TPRs'!$B15)/('[1]A corr.'!$L$2+'[1]A corr.'!$L$3))^2)</f>
        <v>0.80314190575601063</v>
      </c>
      <c r="J15" s="15">
        <f>('[1]%DD corr.'!J117/'[1]%DD corr.'!J$57)*('[1]NPSF corr.'!J115/'[1]NPSF corr.'!J$55)*((('[1]A corr.'!$L$2+'6X TPRs'!$B15)/('[1]A corr.'!$L$2+'[1]A corr.'!$L$3))^2)</f>
        <v>0.80838661427019898</v>
      </c>
      <c r="K15" s="16">
        <f>('[1]%DD corr.'!K117/'[1]%DD corr.'!K$57)*('[1]NPSF corr.'!K115/'[1]NPSF corr.'!K$55)*((('[1]A corr.'!$L$2+'6X TPRs'!$B15)/('[1]A corr.'!$L$2+'[1]A corr.'!$L$3))^2)</f>
        <v>0.8176071914756311</v>
      </c>
      <c r="L15" s="15">
        <f>('[1]%DD corr.'!L117/'[1]%DD corr.'!L$57)*('[1]NPSF corr.'!L115/'[1]NPSF corr.'!L$55)*((('[1]A corr.'!$L$2+'6X TPRs'!$B15)/('[1]A corr.'!$L$2+'[1]A corr.'!$L$3))^2)</f>
        <v>0.8251187896721911</v>
      </c>
      <c r="M15" s="16">
        <f>('[1]%DD corr.'!M117/'[1]%DD corr.'!M$57)*('[1]NPSF corr.'!M115/'[1]NPSF corr.'!M$55)*((('[1]A corr.'!$L$2+'6X TPRs'!$B15)/('[1]A corr.'!$L$2+'[1]A corr.'!$L$3))^2)</f>
        <v>0.83166425135220889</v>
      </c>
      <c r="N15" s="15">
        <f>('[1]%DD corr.'!N117/'[1]%DD corr.'!N$57)*('[1]NPSF corr.'!N115/'[1]NPSF corr.'!N$55)*((('[1]A corr.'!$L$2+'6X TPRs'!$B15)/('[1]A corr.'!$L$2+'[1]A corr.'!$L$3))^2)</f>
        <v>0.83747872100023957</v>
      </c>
      <c r="O15" s="16">
        <f>('[1]%DD corr.'!O117/'[1]%DD corr.'!O$57)*('[1]NPSF corr.'!O115/'[1]NPSF corr.'!O$55)*((('[1]A corr.'!$L$2+'6X TPRs'!$B15)/('[1]A corr.'!$L$2+'[1]A corr.'!$L$3))^2)</f>
        <v>0.84188202387507238</v>
      </c>
      <c r="P15" s="15">
        <f>('[1]%DD corr.'!P117/'[1]%DD corr.'!P$57)*('[1]NPSF corr.'!P115/'[1]NPSF corr.'!P$55)*((('[1]A corr.'!$L$2+'6X TPRs'!$B15)/('[1]A corr.'!$L$2+'[1]A corr.'!$L$3))^2)</f>
        <v>0.85210731614672164</v>
      </c>
      <c r="Q15" s="16">
        <f>('[1]%DD corr.'!Q117/'[1]%DD corr.'!Q$57)*('[1]NPSF corr.'!Q115/'[1]NPSF corr.'!Q$55)*((('[1]A corr.'!$L$2+'6X TPRs'!$B15)/('[1]A corr.'!$L$2+'[1]A corr.'!$L$3))^2)</f>
        <v>0.85878550176530599</v>
      </c>
      <c r="R15" s="15">
        <f>('[1]%DD corr.'!R117/'[1]%DD corr.'!R$57)*('[1]NPSF corr.'!R115/'[1]NPSF corr.'!R$55)*((('[1]A corr.'!$L$2+'6X TPRs'!$B15)/('[1]A corr.'!$L$2+'[1]A corr.'!$L$3))^2)</f>
        <v>0.86350319710111179</v>
      </c>
      <c r="S15" s="17">
        <f>('[1]%DD corr.'!S117/'[1]%DD corr.'!S$57)*('[1]NPSF corr.'!S115/'[1]NPSF corr.'!S$55)*((('[1]A corr.'!$L$2+'6X TPRs'!$B15)/('[1]A corr.'!$L$2+'[1]A corr.'!$L$3))^2)</f>
        <v>0.86785188644217726</v>
      </c>
    </row>
    <row r="16" spans="1:19" x14ac:dyDescent="0.25">
      <c r="B16" s="9">
        <v>12</v>
      </c>
      <c r="C16" s="14">
        <f>('[1]%DD corr.'!C127/'[1]%DD corr.'!C$57)*('[1]NPSF corr.'!C125/'[1]NPSF corr.'!C$55)*((('[1]A corr.'!$L$2+'6X TPRs'!$B16)/('[1]A corr.'!$L$2+'[1]A corr.'!$L$3))^2)</f>
        <v>0.72597954294785039</v>
      </c>
      <c r="D16" s="15">
        <f>('[1]%DD corr.'!D127/'[1]%DD corr.'!D$57)*('[1]NPSF corr.'!D125/'[1]NPSF corr.'!D$55)*((('[1]A corr.'!$L$2+'6X TPRs'!$B16)/('[1]A corr.'!$L$2+'[1]A corr.'!$L$3))^2)</f>
        <v>0.7357139772388448</v>
      </c>
      <c r="E16" s="16">
        <f>('[1]%DD corr.'!E127/'[1]%DD corr.'!E$57)*('[1]NPSF corr.'!E125/'[1]NPSF corr.'!E$55)*((('[1]A corr.'!$L$2+'6X TPRs'!$B16)/('[1]A corr.'!$L$2+'[1]A corr.'!$L$3))^2)</f>
        <v>0.74314411791623869</v>
      </c>
      <c r="F16" s="15">
        <f>('[1]%DD corr.'!F127/'[1]%DD corr.'!F$57)*('[1]NPSF corr.'!F125/'[1]NPSF corr.'!F$55)*((('[1]A corr.'!$L$2+'6X TPRs'!$B16)/('[1]A corr.'!$L$2+'[1]A corr.'!$L$3))^2)</f>
        <v>0.75009101588742522</v>
      </c>
      <c r="G16" s="16">
        <f>('[1]%DD corr.'!G127/'[1]%DD corr.'!G$57)*('[1]NPSF corr.'!G125/'[1]NPSF corr.'!G$55)*((('[1]A corr.'!$L$2+'6X TPRs'!$B16)/('[1]A corr.'!$L$2+'[1]A corr.'!$L$3))^2)</f>
        <v>0.75797144529676075</v>
      </c>
      <c r="H16" s="15">
        <f>('[1]%DD corr.'!H127/'[1]%DD corr.'!H$57)*('[1]NPSF corr.'!H125/'[1]NPSF corr.'!H$55)*((('[1]A corr.'!$L$2+'6X TPRs'!$B16)/('[1]A corr.'!$L$2+'[1]A corr.'!$L$3))^2)</f>
        <v>0.76576558521851867</v>
      </c>
      <c r="I16" s="16">
        <f>('[1]%DD corr.'!I127/'[1]%DD corr.'!I$57)*('[1]NPSF corr.'!I125/'[1]NPSF corr.'!I$55)*((('[1]A corr.'!$L$2+'6X TPRs'!$B16)/('[1]A corr.'!$L$2+'[1]A corr.'!$L$3))^2)</f>
        <v>0.771422635524462</v>
      </c>
      <c r="J16" s="15">
        <f>('[1]%DD corr.'!J127/'[1]%DD corr.'!J$57)*('[1]NPSF corr.'!J125/'[1]NPSF corr.'!J$55)*((('[1]A corr.'!$L$2+'6X TPRs'!$B16)/('[1]A corr.'!$L$2+'[1]A corr.'!$L$3))^2)</f>
        <v>0.77740451827256885</v>
      </c>
      <c r="K16" s="16">
        <f>('[1]%DD corr.'!K127/'[1]%DD corr.'!K$57)*('[1]NPSF corr.'!K125/'[1]NPSF corr.'!K$55)*((('[1]A corr.'!$L$2+'6X TPRs'!$B16)/('[1]A corr.'!$L$2+'[1]A corr.'!$L$3))^2)</f>
        <v>0.78792439930021474</v>
      </c>
      <c r="L16" s="15">
        <f>('[1]%DD corr.'!L127/'[1]%DD corr.'!L$57)*('[1]NPSF corr.'!L125/'[1]NPSF corr.'!L$55)*((('[1]A corr.'!$L$2+'6X TPRs'!$B16)/('[1]A corr.'!$L$2+'[1]A corr.'!$L$3))^2)</f>
        <v>0.79635609874778879</v>
      </c>
      <c r="M16" s="16">
        <f>('[1]%DD corr.'!M127/'[1]%DD corr.'!M$57)*('[1]NPSF corr.'!M125/'[1]NPSF corr.'!M$55)*((('[1]A corr.'!$L$2+'6X TPRs'!$B16)/('[1]A corr.'!$L$2+'[1]A corr.'!$L$3))^2)</f>
        <v>0.80333933509783606</v>
      </c>
      <c r="N16" s="15">
        <f>('[1]%DD corr.'!N127/'[1]%DD corr.'!N$57)*('[1]NPSF corr.'!N125/'[1]NPSF corr.'!N$55)*((('[1]A corr.'!$L$2+'6X TPRs'!$B16)/('[1]A corr.'!$L$2+'[1]A corr.'!$L$3))^2)</f>
        <v>0.81001644394299044</v>
      </c>
      <c r="O16" s="16">
        <f>('[1]%DD corr.'!O127/'[1]%DD corr.'!O$57)*('[1]NPSF corr.'!O125/'[1]NPSF corr.'!O$55)*((('[1]A corr.'!$L$2+'6X TPRs'!$B16)/('[1]A corr.'!$L$2+'[1]A corr.'!$L$3))^2)</f>
        <v>0.81518582657473748</v>
      </c>
      <c r="P16" s="15">
        <f>('[1]%DD corr.'!P127/'[1]%DD corr.'!P$57)*('[1]NPSF corr.'!P125/'[1]NPSF corr.'!P$55)*((('[1]A corr.'!$L$2+'6X TPRs'!$B16)/('[1]A corr.'!$L$2+'[1]A corr.'!$L$3))^2)</f>
        <v>0.82693318458196574</v>
      </c>
      <c r="Q16" s="16">
        <f>('[1]%DD corr.'!Q127/'[1]%DD corr.'!Q$57)*('[1]NPSF corr.'!Q125/'[1]NPSF corr.'!Q$55)*((('[1]A corr.'!$L$2+'6X TPRs'!$B16)/('[1]A corr.'!$L$2+'[1]A corr.'!$L$3))^2)</f>
        <v>0.8347226124723246</v>
      </c>
      <c r="R16" s="15">
        <f>('[1]%DD corr.'!R127/'[1]%DD corr.'!R$57)*('[1]NPSF corr.'!R125/'[1]NPSF corr.'!R$55)*((('[1]A corr.'!$L$2+'6X TPRs'!$B16)/('[1]A corr.'!$L$2+'[1]A corr.'!$L$3))^2)</f>
        <v>0.84051594633248539</v>
      </c>
      <c r="S16" s="17">
        <f>('[1]%DD corr.'!S127/'[1]%DD corr.'!S$57)*('[1]NPSF corr.'!S125/'[1]NPSF corr.'!S$55)*((('[1]A corr.'!$L$2+'6X TPRs'!$B16)/('[1]A corr.'!$L$2+'[1]A corr.'!$L$3))^2)</f>
        <v>0.84543070797906628</v>
      </c>
    </row>
    <row r="17" spans="2:19" x14ac:dyDescent="0.25">
      <c r="B17" s="9">
        <v>13</v>
      </c>
      <c r="C17" s="14">
        <f>('[1]%DD corr.'!C137/'[1]%DD corr.'!C$57)*('[1]NPSF corr.'!C135/'[1]NPSF corr.'!C$55)*((('[1]A corr.'!$L$2+'6X TPRs'!$B17)/('[1]A corr.'!$L$2+'[1]A corr.'!$L$3))^2)</f>
        <v>0.69264942249342709</v>
      </c>
      <c r="D17" s="15">
        <f>('[1]%DD corr.'!D137/'[1]%DD corr.'!D$57)*('[1]NPSF corr.'!D135/'[1]NPSF corr.'!D$55)*((('[1]A corr.'!$L$2+'6X TPRs'!$B17)/('[1]A corr.'!$L$2+'[1]A corr.'!$L$3))^2)</f>
        <v>0.70275428500585824</v>
      </c>
      <c r="E17" s="16">
        <f>('[1]%DD corr.'!E137/'[1]%DD corr.'!E$57)*('[1]NPSF corr.'!E135/'[1]NPSF corr.'!E$55)*((('[1]A corr.'!$L$2+'6X TPRs'!$B17)/('[1]A corr.'!$L$2+'[1]A corr.'!$L$3))^2)</f>
        <v>0.71048261385057077</v>
      </c>
      <c r="F17" s="15">
        <f>('[1]%DD corr.'!F137/'[1]%DD corr.'!F$57)*('[1]NPSF corr.'!F135/'[1]NPSF corr.'!F$55)*((('[1]A corr.'!$L$2+'6X TPRs'!$B17)/('[1]A corr.'!$L$2+'[1]A corr.'!$L$3))^2)</f>
        <v>0.71822183089152947</v>
      </c>
      <c r="G17" s="16">
        <f>('[1]%DD corr.'!G137/'[1]%DD corr.'!G$57)*('[1]NPSF corr.'!G135/'[1]NPSF corr.'!G$55)*((('[1]A corr.'!$L$2+'6X TPRs'!$B17)/('[1]A corr.'!$L$2+'[1]A corr.'!$L$3))^2)</f>
        <v>0.72713924237142036</v>
      </c>
      <c r="H17" s="15">
        <f>('[1]%DD corr.'!H137/'[1]%DD corr.'!H$57)*('[1]NPSF corr.'!H135/'[1]NPSF corr.'!H$55)*((('[1]A corr.'!$L$2+'6X TPRs'!$B17)/('[1]A corr.'!$L$2+'[1]A corr.'!$L$3))^2)</f>
        <v>0.73461148735580151</v>
      </c>
      <c r="I17" s="16">
        <f>('[1]%DD corr.'!I137/'[1]%DD corr.'!I$57)*('[1]NPSF corr.'!I135/'[1]NPSF corr.'!I$55)*((('[1]A corr.'!$L$2+'6X TPRs'!$B17)/('[1]A corr.'!$L$2+'[1]A corr.'!$L$3))^2)</f>
        <v>0.74146899589286708</v>
      </c>
      <c r="J17" s="15">
        <f>('[1]%DD corr.'!J137/'[1]%DD corr.'!J$57)*('[1]NPSF corr.'!J135/'[1]NPSF corr.'!J$55)*((('[1]A corr.'!$L$2+'6X TPRs'!$B17)/('[1]A corr.'!$L$2+'[1]A corr.'!$L$3))^2)</f>
        <v>0.74752586899029883</v>
      </c>
      <c r="K17" s="16">
        <f>('[1]%DD corr.'!K137/'[1]%DD corr.'!K$57)*('[1]NPSF corr.'!K135/'[1]NPSF corr.'!K$55)*((('[1]A corr.'!$L$2+'6X TPRs'!$B17)/('[1]A corr.'!$L$2+'[1]A corr.'!$L$3))^2)</f>
        <v>0.75849182522818692</v>
      </c>
      <c r="L17" s="15">
        <f>('[1]%DD corr.'!L137/'[1]%DD corr.'!L$57)*('[1]NPSF corr.'!L135/'[1]NPSF corr.'!L$55)*((('[1]A corr.'!$L$2+'6X TPRs'!$B17)/('[1]A corr.'!$L$2+'[1]A corr.'!$L$3))^2)</f>
        <v>0.76765911470914849</v>
      </c>
      <c r="M17" s="16">
        <f>('[1]%DD corr.'!M137/'[1]%DD corr.'!M$57)*('[1]NPSF corr.'!M135/'[1]NPSF corr.'!M$55)*((('[1]A corr.'!$L$2+'6X TPRs'!$B17)/('[1]A corr.'!$L$2+'[1]A corr.'!$L$3))^2)</f>
        <v>0.77511893444801239</v>
      </c>
      <c r="N17" s="15">
        <f>('[1]%DD corr.'!N137/'[1]%DD corr.'!N$57)*('[1]NPSF corr.'!N135/'[1]NPSF corr.'!N$55)*((('[1]A corr.'!$L$2+'6X TPRs'!$B17)/('[1]A corr.'!$L$2+'[1]A corr.'!$L$3))^2)</f>
        <v>0.78255230119833008</v>
      </c>
      <c r="O17" s="16">
        <f>('[1]%DD corr.'!O137/'[1]%DD corr.'!O$57)*('[1]NPSF corr.'!O135/'[1]NPSF corr.'!O$55)*((('[1]A corr.'!$L$2+'6X TPRs'!$B17)/('[1]A corr.'!$L$2+'[1]A corr.'!$L$3))^2)</f>
        <v>0.78815528631373788</v>
      </c>
      <c r="P17" s="15">
        <f>('[1]%DD corr.'!P137/'[1]%DD corr.'!P$57)*('[1]NPSF corr.'!P135/'[1]NPSF corr.'!P$55)*((('[1]A corr.'!$L$2+'6X TPRs'!$B17)/('[1]A corr.'!$L$2+'[1]A corr.'!$L$3))^2)</f>
        <v>0.80130457723781534</v>
      </c>
      <c r="Q17" s="16">
        <f>('[1]%DD corr.'!Q137/'[1]%DD corr.'!Q$57)*('[1]NPSF corr.'!Q135/'[1]NPSF corr.'!Q$55)*((('[1]A corr.'!$L$2+'6X TPRs'!$B17)/('[1]A corr.'!$L$2+'[1]A corr.'!$L$3))^2)</f>
        <v>0.81047571545103003</v>
      </c>
      <c r="R17" s="15">
        <f>('[1]%DD corr.'!R137/'[1]%DD corr.'!R$57)*('[1]NPSF corr.'!R135/'[1]NPSF corr.'!R$55)*((('[1]A corr.'!$L$2+'6X TPRs'!$B17)/('[1]A corr.'!$L$2+'[1]A corr.'!$L$3))^2)</f>
        <v>0.81730596383794707</v>
      </c>
      <c r="S17" s="17">
        <f>('[1]%DD corr.'!S137/'[1]%DD corr.'!S$57)*('[1]NPSF corr.'!S135/'[1]NPSF corr.'!S$55)*((('[1]A corr.'!$L$2+'6X TPRs'!$B17)/('[1]A corr.'!$L$2+'[1]A corr.'!$L$3))^2)</f>
        <v>0.82226098063429931</v>
      </c>
    </row>
    <row r="18" spans="2:19" x14ac:dyDescent="0.25">
      <c r="B18" s="9">
        <v>14</v>
      </c>
      <c r="C18" s="14">
        <f>('[1]%DD corr.'!C147/'[1]%DD corr.'!C$57)*('[1]NPSF corr.'!C145/'[1]NPSF corr.'!C$55)*((('[1]A corr.'!$L$2+'6X TPRs'!$B18)/('[1]A corr.'!$L$2+'[1]A corr.'!$L$3))^2)</f>
        <v>0.66155214863347112</v>
      </c>
      <c r="D18" s="15">
        <f>('[1]%DD corr.'!D147/'[1]%DD corr.'!D$57)*('[1]NPSF corr.'!D145/'[1]NPSF corr.'!D$55)*((('[1]A corr.'!$L$2+'6X TPRs'!$B18)/('[1]A corr.'!$L$2+'[1]A corr.'!$L$3))^2)</f>
        <v>0.67177093936243737</v>
      </c>
      <c r="E18" s="16">
        <f>('[1]%DD corr.'!E147/'[1]%DD corr.'!E$57)*('[1]NPSF corr.'!E145/'[1]NPSF corr.'!E$55)*((('[1]A corr.'!$L$2+'6X TPRs'!$B18)/('[1]A corr.'!$L$2+'[1]A corr.'!$L$3))^2)</f>
        <v>0.6799098296124505</v>
      </c>
      <c r="F18" s="15">
        <f>('[1]%DD corr.'!F147/'[1]%DD corr.'!F$57)*('[1]NPSF corr.'!F145/'[1]NPSF corr.'!F$55)*((('[1]A corr.'!$L$2+'6X TPRs'!$B18)/('[1]A corr.'!$L$2+'[1]A corr.'!$L$3))^2)</f>
        <v>0.68796031587981132</v>
      </c>
      <c r="G18" s="16">
        <f>('[1]%DD corr.'!G147/'[1]%DD corr.'!G$57)*('[1]NPSF corr.'!G145/'[1]NPSF corr.'!G$55)*((('[1]A corr.'!$L$2+'6X TPRs'!$B18)/('[1]A corr.'!$L$2+'[1]A corr.'!$L$3))^2)</f>
        <v>0.69649558989609961</v>
      </c>
      <c r="H18" s="15">
        <f>('[1]%DD corr.'!H147/'[1]%DD corr.'!H$57)*('[1]NPSF corr.'!H145/'[1]NPSF corr.'!H$55)*((('[1]A corr.'!$L$2+'6X TPRs'!$B18)/('[1]A corr.'!$L$2+'[1]A corr.'!$L$3))^2)</f>
        <v>0.70486729803583992</v>
      </c>
      <c r="I18" s="16">
        <f>('[1]%DD corr.'!I147/'[1]%DD corr.'!I$57)*('[1]NPSF corr.'!I145/'[1]NPSF corr.'!I$55)*((('[1]A corr.'!$L$2+'6X TPRs'!$B18)/('[1]A corr.'!$L$2+'[1]A corr.'!$L$3))^2)</f>
        <v>0.71161836834142222</v>
      </c>
      <c r="J18" s="15">
        <f>('[1]%DD corr.'!J147/'[1]%DD corr.'!J$57)*('[1]NPSF corr.'!J145/'[1]NPSF corr.'!J$55)*((('[1]A corr.'!$L$2+'6X TPRs'!$B18)/('[1]A corr.'!$L$2+'[1]A corr.'!$L$3))^2)</f>
        <v>0.71788278879524581</v>
      </c>
      <c r="K18" s="16">
        <f>('[1]%DD corr.'!K147/'[1]%DD corr.'!K$57)*('[1]NPSF corr.'!K145/'[1]NPSF corr.'!K$55)*((('[1]A corr.'!$L$2+'6X TPRs'!$B18)/('[1]A corr.'!$L$2+'[1]A corr.'!$L$3))^2)</f>
        <v>0.72975839469424386</v>
      </c>
      <c r="L18" s="15">
        <f>('[1]%DD corr.'!L147/'[1]%DD corr.'!L$57)*('[1]NPSF corr.'!L145/'[1]NPSF corr.'!L$55)*((('[1]A corr.'!$L$2+'6X TPRs'!$B18)/('[1]A corr.'!$L$2+'[1]A corr.'!$L$3))^2)</f>
        <v>0.7401881603740581</v>
      </c>
      <c r="M18" s="16">
        <f>('[1]%DD corr.'!M147/'[1]%DD corr.'!M$57)*('[1]NPSF corr.'!M145/'[1]NPSF corr.'!M$55)*((('[1]A corr.'!$L$2+'6X TPRs'!$B18)/('[1]A corr.'!$L$2+'[1]A corr.'!$L$3))^2)</f>
        <v>0.74771796225575515</v>
      </c>
      <c r="N18" s="15">
        <f>('[1]%DD corr.'!N147/'[1]%DD corr.'!N$57)*('[1]NPSF corr.'!N145/'[1]NPSF corr.'!N$55)*((('[1]A corr.'!$L$2+'6X TPRs'!$B18)/('[1]A corr.'!$L$2+'[1]A corr.'!$L$3))^2)</f>
        <v>0.75573689624843765</v>
      </c>
      <c r="O18" s="16">
        <f>('[1]%DD corr.'!O147/'[1]%DD corr.'!O$57)*('[1]NPSF corr.'!O145/'[1]NPSF corr.'!O$55)*((('[1]A corr.'!$L$2+'6X TPRs'!$B18)/('[1]A corr.'!$L$2+'[1]A corr.'!$L$3))^2)</f>
        <v>0.76187495990169529</v>
      </c>
      <c r="P18" s="15">
        <f>('[1]%DD corr.'!P147/'[1]%DD corr.'!P$57)*('[1]NPSF corr.'!P145/'[1]NPSF corr.'!P$55)*((('[1]A corr.'!$L$2+'6X TPRs'!$B18)/('[1]A corr.'!$L$2+'[1]A corr.'!$L$3))^2)</f>
        <v>0.77651693058479354</v>
      </c>
      <c r="Q18" s="16">
        <f>('[1]%DD corr.'!Q147/'[1]%DD corr.'!Q$57)*('[1]NPSF corr.'!Q145/'[1]NPSF corr.'!Q$55)*((('[1]A corr.'!$L$2+'6X TPRs'!$B18)/('[1]A corr.'!$L$2+'[1]A corr.'!$L$3))^2)</f>
        <v>0.78650903982475184</v>
      </c>
      <c r="R18" s="15">
        <f>('[1]%DD corr.'!R147/'[1]%DD corr.'!R$57)*('[1]NPSF corr.'!R145/'[1]NPSF corr.'!R$55)*((('[1]A corr.'!$L$2+'6X TPRs'!$B18)/('[1]A corr.'!$L$2+'[1]A corr.'!$L$3))^2)</f>
        <v>0.7939386823897745</v>
      </c>
      <c r="S18" s="17">
        <f>('[1]%DD corr.'!S147/'[1]%DD corr.'!S$57)*('[1]NPSF corr.'!S145/'[1]NPSF corr.'!S$55)*((('[1]A corr.'!$L$2+'6X TPRs'!$B18)/('[1]A corr.'!$L$2+'[1]A corr.'!$L$3))^2)</f>
        <v>0.79947805952357287</v>
      </c>
    </row>
    <row r="19" spans="2:19" x14ac:dyDescent="0.25">
      <c r="B19" s="9">
        <v>15</v>
      </c>
      <c r="C19" s="14">
        <f>('[1]%DD corr.'!C157/'[1]%DD corr.'!C$57)*('[1]NPSF corr.'!C155/'[1]NPSF corr.'!C$55)*((('[1]A corr.'!$L$2+'6X TPRs'!$B19)/('[1]A corr.'!$L$2+'[1]A corr.'!$L$3))^2)</f>
        <v>0.63125162753792274</v>
      </c>
      <c r="D19" s="15">
        <f>('[1]%DD corr.'!D157/'[1]%DD corr.'!D$57)*('[1]NPSF corr.'!D155/'[1]NPSF corr.'!D$55)*((('[1]A corr.'!$L$2+'6X TPRs'!$B19)/('[1]A corr.'!$L$2+'[1]A corr.'!$L$3))^2)</f>
        <v>0.64213812301369777</v>
      </c>
      <c r="E19" s="16">
        <f>('[1]%DD corr.'!E157/'[1]%DD corr.'!E$57)*('[1]NPSF corr.'!E155/'[1]NPSF corr.'!E$55)*((('[1]A corr.'!$L$2+'6X TPRs'!$B19)/('[1]A corr.'!$L$2+'[1]A corr.'!$L$3))^2)</f>
        <v>0.6503125474827407</v>
      </c>
      <c r="F19" s="15">
        <f>('[1]%DD corr.'!F157/'[1]%DD corr.'!F$57)*('[1]NPSF corr.'!F155/'[1]NPSF corr.'!F$55)*((('[1]A corr.'!$L$2+'6X TPRs'!$B19)/('[1]A corr.'!$L$2+'[1]A corr.'!$L$3))^2)</f>
        <v>0.65815233321370625</v>
      </c>
      <c r="G19" s="16">
        <f>('[1]%DD corr.'!G157/'[1]%DD corr.'!G$57)*('[1]NPSF corr.'!G155/'[1]NPSF corr.'!G$55)*((('[1]A corr.'!$L$2+'6X TPRs'!$B19)/('[1]A corr.'!$L$2+'[1]A corr.'!$L$3))^2)</f>
        <v>0.66654902465559096</v>
      </c>
      <c r="H19" s="15">
        <f>('[1]%DD corr.'!H157/'[1]%DD corr.'!H$57)*('[1]NPSF corr.'!H155/'[1]NPSF corr.'!H$55)*((('[1]A corr.'!$L$2+'6X TPRs'!$B19)/('[1]A corr.'!$L$2+'[1]A corr.'!$L$3))^2)</f>
        <v>0.67494353837283105</v>
      </c>
      <c r="I19" s="16">
        <f>('[1]%DD corr.'!I157/'[1]%DD corr.'!I$57)*('[1]NPSF corr.'!I155/'[1]NPSF corr.'!I$55)*((('[1]A corr.'!$L$2+'6X TPRs'!$B19)/('[1]A corr.'!$L$2+'[1]A corr.'!$L$3))^2)</f>
        <v>0.68262571325625598</v>
      </c>
      <c r="J19" s="15">
        <f>('[1]%DD corr.'!J157/'[1]%DD corr.'!J$57)*('[1]NPSF corr.'!J155/'[1]NPSF corr.'!J$55)*((('[1]A corr.'!$L$2+'6X TPRs'!$B19)/('[1]A corr.'!$L$2+'[1]A corr.'!$L$3))^2)</f>
        <v>0.68934371143294637</v>
      </c>
      <c r="K19" s="16">
        <f>('[1]%DD corr.'!K157/'[1]%DD corr.'!K$57)*('[1]NPSF corr.'!K155/'[1]NPSF corr.'!K$55)*((('[1]A corr.'!$L$2+'6X TPRs'!$B19)/('[1]A corr.'!$L$2+'[1]A corr.'!$L$3))^2)</f>
        <v>0.70191063800757769</v>
      </c>
      <c r="L19" s="15">
        <f>('[1]%DD corr.'!L157/'[1]%DD corr.'!L$57)*('[1]NPSF corr.'!L155/'[1]NPSF corr.'!L$55)*((('[1]A corr.'!$L$2+'6X TPRs'!$B19)/('[1]A corr.'!$L$2+'[1]A corr.'!$L$3))^2)</f>
        <v>0.71271564865043779</v>
      </c>
      <c r="M19" s="16">
        <f>('[1]%DD corr.'!M157/'[1]%DD corr.'!M$57)*('[1]NPSF corr.'!M155/'[1]NPSF corr.'!M$55)*((('[1]A corr.'!$L$2+'6X TPRs'!$B19)/('[1]A corr.'!$L$2+'[1]A corr.'!$L$3))^2)</f>
        <v>0.72064822444379029</v>
      </c>
      <c r="N19" s="15">
        <f>('[1]%DD corr.'!N157/'[1]%DD corr.'!N$57)*('[1]NPSF corr.'!N155/'[1]NPSF corr.'!N$55)*((('[1]A corr.'!$L$2+'6X TPRs'!$B19)/('[1]A corr.'!$L$2+'[1]A corr.'!$L$3))^2)</f>
        <v>0.72920579065955426</v>
      </c>
      <c r="O19" s="16">
        <f>('[1]%DD corr.'!O157/'[1]%DD corr.'!O$57)*('[1]NPSF corr.'!O155/'[1]NPSF corr.'!O$55)*((('[1]A corr.'!$L$2+'6X TPRs'!$B19)/('[1]A corr.'!$L$2+'[1]A corr.'!$L$3))^2)</f>
        <v>0.73580232487996955</v>
      </c>
      <c r="P19" s="15">
        <f>('[1]%DD corr.'!P157/'[1]%DD corr.'!P$57)*('[1]NPSF corr.'!P155/'[1]NPSF corr.'!P$55)*((('[1]A corr.'!$L$2+'6X TPRs'!$B19)/('[1]A corr.'!$L$2+'[1]A corr.'!$L$3))^2)</f>
        <v>0.75150952470185106</v>
      </c>
      <c r="Q19" s="16">
        <f>('[1]%DD corr.'!Q157/'[1]%DD corr.'!Q$57)*('[1]NPSF corr.'!Q155/'[1]NPSF corr.'!Q$55)*((('[1]A corr.'!$L$2+'6X TPRs'!$B19)/('[1]A corr.'!$L$2+'[1]A corr.'!$L$3))^2)</f>
        <v>0.76272186533462794</v>
      </c>
      <c r="R19" s="15">
        <f>('[1]%DD corr.'!R157/'[1]%DD corr.'!R$57)*('[1]NPSF corr.'!R155/'[1]NPSF corr.'!R$55)*((('[1]A corr.'!$L$2+'6X TPRs'!$B19)/('[1]A corr.'!$L$2+'[1]A corr.'!$L$3))^2)</f>
        <v>0.77135811129439935</v>
      </c>
      <c r="S19" s="17">
        <f>('[1]%DD corr.'!S157/'[1]%DD corr.'!S$57)*('[1]NPSF corr.'!S155/'[1]NPSF corr.'!S$55)*((('[1]A corr.'!$L$2+'6X TPRs'!$B19)/('[1]A corr.'!$L$2+'[1]A corr.'!$L$3))^2)</f>
        <v>0.77734184978078402</v>
      </c>
    </row>
    <row r="20" spans="2:19" x14ac:dyDescent="0.25">
      <c r="B20" s="9">
        <v>16</v>
      </c>
      <c r="C20" s="14">
        <f>('[1]%DD corr.'!C167/'[1]%DD corr.'!C$57)*('[1]NPSF corr.'!C165/'[1]NPSF corr.'!C$55)*((('[1]A corr.'!$L$2+'6X TPRs'!$B20)/('[1]A corr.'!$L$2+'[1]A corr.'!$L$3))^2)</f>
        <v>0.60272980543680632</v>
      </c>
      <c r="D20" s="15">
        <f>('[1]%DD corr.'!D167/'[1]%DD corr.'!D$57)*('[1]NPSF corr.'!D165/'[1]NPSF corr.'!D$55)*((('[1]A corr.'!$L$2+'6X TPRs'!$B20)/('[1]A corr.'!$L$2+'[1]A corr.'!$L$3))^2)</f>
        <v>0.61417935087113362</v>
      </c>
      <c r="E20" s="16">
        <f>('[1]%DD corr.'!E167/'[1]%DD corr.'!E$57)*('[1]NPSF corr.'!E165/'[1]NPSF corr.'!E$55)*((('[1]A corr.'!$L$2+'6X TPRs'!$B20)/('[1]A corr.'!$L$2+'[1]A corr.'!$L$3))^2)</f>
        <v>0.62244693830347297</v>
      </c>
      <c r="F20" s="15">
        <f>('[1]%DD corr.'!F167/'[1]%DD corr.'!F$57)*('[1]NPSF corr.'!F165/'[1]NPSF corr.'!F$55)*((('[1]A corr.'!$L$2+'6X TPRs'!$B20)/('[1]A corr.'!$L$2+'[1]A corr.'!$L$3))^2)</f>
        <v>0.63009310345983571</v>
      </c>
      <c r="G20" s="16">
        <f>('[1]%DD corr.'!G167/'[1]%DD corr.'!G$57)*('[1]NPSF corr.'!G165/'[1]NPSF corr.'!G$55)*((('[1]A corr.'!$L$2+'6X TPRs'!$B20)/('[1]A corr.'!$L$2+'[1]A corr.'!$L$3))^2)</f>
        <v>0.63900413421866931</v>
      </c>
      <c r="H20" s="15">
        <f>('[1]%DD corr.'!H167/'[1]%DD corr.'!H$57)*('[1]NPSF corr.'!H165/'[1]NPSF corr.'!H$55)*((('[1]A corr.'!$L$2+'6X TPRs'!$B20)/('[1]A corr.'!$L$2+'[1]A corr.'!$L$3))^2)</f>
        <v>0.64711678646027293</v>
      </c>
      <c r="I20" s="16">
        <f>('[1]%DD corr.'!I167/'[1]%DD corr.'!I$57)*('[1]NPSF corr.'!I165/'[1]NPSF corr.'!I$55)*((('[1]A corr.'!$L$2+'6X TPRs'!$B20)/('[1]A corr.'!$L$2+'[1]A corr.'!$L$3))^2)</f>
        <v>0.65465436641630126</v>
      </c>
      <c r="J20" s="15">
        <f>('[1]%DD corr.'!J167/'[1]%DD corr.'!J$57)*('[1]NPSF corr.'!J165/'[1]NPSF corr.'!J$55)*((('[1]A corr.'!$L$2+'6X TPRs'!$B20)/('[1]A corr.'!$L$2+'[1]A corr.'!$L$3))^2)</f>
        <v>0.6617020587379765</v>
      </c>
      <c r="K20" s="16">
        <f>('[1]%DD corr.'!K167/'[1]%DD corr.'!K$57)*('[1]NPSF corr.'!K165/'[1]NPSF corr.'!K$55)*((('[1]A corr.'!$L$2+'6X TPRs'!$B20)/('[1]A corr.'!$L$2+'[1]A corr.'!$L$3))^2)</f>
        <v>0.67503340939699008</v>
      </c>
      <c r="L20" s="15">
        <f>('[1]%DD corr.'!L167/'[1]%DD corr.'!L$57)*('[1]NPSF corr.'!L165/'[1]NPSF corr.'!L$55)*((('[1]A corr.'!$L$2+'6X TPRs'!$B20)/('[1]A corr.'!$L$2+'[1]A corr.'!$L$3))^2)</f>
        <v>0.6860506874384833</v>
      </c>
      <c r="M20" s="16">
        <f>('[1]%DD corr.'!M167/'[1]%DD corr.'!M$57)*('[1]NPSF corr.'!M165/'[1]NPSF corr.'!M$55)*((('[1]A corr.'!$L$2+'6X TPRs'!$B20)/('[1]A corr.'!$L$2+'[1]A corr.'!$L$3))^2)</f>
        <v>0.69439160763520413</v>
      </c>
      <c r="N20" s="15">
        <f>('[1]%DD corr.'!N167/'[1]%DD corr.'!N$57)*('[1]NPSF corr.'!N165/'[1]NPSF corr.'!N$55)*((('[1]A corr.'!$L$2+'6X TPRs'!$B20)/('[1]A corr.'!$L$2+'[1]A corr.'!$L$3))^2)</f>
        <v>0.70351950397277641</v>
      </c>
      <c r="O20" s="16">
        <f>('[1]%DD corr.'!O167/'[1]%DD corr.'!O$57)*('[1]NPSF corr.'!O165/'[1]NPSF corr.'!O$55)*((('[1]A corr.'!$L$2+'6X TPRs'!$B20)/('[1]A corr.'!$L$2+'[1]A corr.'!$L$3))^2)</f>
        <v>0.71044664698668314</v>
      </c>
      <c r="P20" s="15">
        <f>('[1]%DD corr.'!P167/'[1]%DD corr.'!P$57)*('[1]NPSF corr.'!P165/'[1]NPSF corr.'!P$55)*((('[1]A corr.'!$L$2+'6X TPRs'!$B20)/('[1]A corr.'!$L$2+'[1]A corr.'!$L$3))^2)</f>
        <v>0.72737506124860618</v>
      </c>
      <c r="Q20" s="16">
        <f>('[1]%DD corr.'!Q167/'[1]%DD corr.'!Q$57)*('[1]NPSF corr.'!Q165/'[1]NPSF corr.'!Q$55)*((('[1]A corr.'!$L$2+'6X TPRs'!$B20)/('[1]A corr.'!$L$2+'[1]A corr.'!$L$3))^2)</f>
        <v>0.73906667009790772</v>
      </c>
      <c r="R20" s="15">
        <f>('[1]%DD corr.'!R167/'[1]%DD corr.'!R$57)*('[1]NPSF corr.'!R165/'[1]NPSF corr.'!R$55)*((('[1]A corr.'!$L$2+'6X TPRs'!$B20)/('[1]A corr.'!$L$2+'[1]A corr.'!$L$3))^2)</f>
        <v>0.7477472470258345</v>
      </c>
      <c r="S20" s="17">
        <f>('[1]%DD corr.'!S167/'[1]%DD corr.'!S$57)*('[1]NPSF corr.'!S165/'[1]NPSF corr.'!S$55)*((('[1]A corr.'!$L$2+'6X TPRs'!$B20)/('[1]A corr.'!$L$2+'[1]A corr.'!$L$3))^2)</f>
        <v>0.75429268176553388</v>
      </c>
    </row>
    <row r="21" spans="2:19" x14ac:dyDescent="0.25">
      <c r="B21" s="9">
        <v>17</v>
      </c>
      <c r="C21" s="14">
        <f>('[1]%DD corr.'!C177/'[1]%DD corr.'!C$57)*('[1]NPSF corr.'!C175/'[1]NPSF corr.'!C$55)*((('[1]A corr.'!$L$2+'6X TPRs'!$B21)/('[1]A corr.'!$L$2+'[1]A corr.'!$L$3))^2)</f>
        <v>0.57581307076344712</v>
      </c>
      <c r="D21" s="15">
        <f>('[1]%DD corr.'!D177/'[1]%DD corr.'!D$57)*('[1]NPSF corr.'!D175/'[1]NPSF corr.'!D$55)*((('[1]A corr.'!$L$2+'6X TPRs'!$B21)/('[1]A corr.'!$L$2+'[1]A corr.'!$L$3))^2)</f>
        <v>0.58724596441171206</v>
      </c>
      <c r="E21" s="16">
        <f>('[1]%DD corr.'!E177/'[1]%DD corr.'!E$57)*('[1]NPSF corr.'!E175/'[1]NPSF corr.'!E$55)*((('[1]A corr.'!$L$2+'6X TPRs'!$B21)/('[1]A corr.'!$L$2+'[1]A corr.'!$L$3))^2)</f>
        <v>0.59508667815142968</v>
      </c>
      <c r="F21" s="15">
        <f>('[1]%DD corr.'!F177/'[1]%DD corr.'!F$57)*('[1]NPSF corr.'!F175/'[1]NPSF corr.'!F$55)*((('[1]A corr.'!$L$2+'6X TPRs'!$B21)/('[1]A corr.'!$L$2+'[1]A corr.'!$L$3))^2)</f>
        <v>0.60288540990372574</v>
      </c>
      <c r="G21" s="16">
        <f>('[1]%DD corr.'!G177/'[1]%DD corr.'!G$57)*('[1]NPSF corr.'!G175/'[1]NPSF corr.'!G$55)*((('[1]A corr.'!$L$2+'6X TPRs'!$B21)/('[1]A corr.'!$L$2+'[1]A corr.'!$L$3))^2)</f>
        <v>0.61185037805982256</v>
      </c>
      <c r="H21" s="15">
        <f>('[1]%DD corr.'!H177/'[1]%DD corr.'!H$57)*('[1]NPSF corr.'!H175/'[1]NPSF corr.'!H$55)*((('[1]A corr.'!$L$2+'6X TPRs'!$B21)/('[1]A corr.'!$L$2+'[1]A corr.'!$L$3))^2)</f>
        <v>0.62031960701338495</v>
      </c>
      <c r="I21" s="16">
        <f>('[1]%DD corr.'!I177/'[1]%DD corr.'!I$57)*('[1]NPSF corr.'!I175/'[1]NPSF corr.'!I$55)*((('[1]A corr.'!$L$2+'6X TPRs'!$B21)/('[1]A corr.'!$L$2+'[1]A corr.'!$L$3))^2)</f>
        <v>0.6282114251335833</v>
      </c>
      <c r="J21" s="15">
        <f>('[1]%DD corr.'!J177/'[1]%DD corr.'!J$57)*('[1]NPSF corr.'!J175/'[1]NPSF corr.'!J$55)*((('[1]A corr.'!$L$2+'6X TPRs'!$B21)/('[1]A corr.'!$L$2+'[1]A corr.'!$L$3))^2)</f>
        <v>0.63534733165466084</v>
      </c>
      <c r="K21" s="16">
        <f>('[1]%DD corr.'!K177/'[1]%DD corr.'!K$57)*('[1]NPSF corr.'!K175/'[1]NPSF corr.'!K$55)*((('[1]A corr.'!$L$2+'6X TPRs'!$B21)/('[1]A corr.'!$L$2+'[1]A corr.'!$L$3))^2)</f>
        <v>0.64858151471088232</v>
      </c>
      <c r="L21" s="15">
        <f>('[1]%DD corr.'!L177/'[1]%DD corr.'!L$57)*('[1]NPSF corr.'!L175/'[1]NPSF corr.'!L$55)*((('[1]A corr.'!$L$2+'6X TPRs'!$B21)/('[1]A corr.'!$L$2+'[1]A corr.'!$L$3))^2)</f>
        <v>0.65993131631264734</v>
      </c>
      <c r="M21" s="16">
        <f>('[1]%DD corr.'!M177/'[1]%DD corr.'!M$57)*('[1]NPSF corr.'!M175/'[1]NPSF corr.'!M$55)*((('[1]A corr.'!$L$2+'6X TPRs'!$B21)/('[1]A corr.'!$L$2+'[1]A corr.'!$L$3))^2)</f>
        <v>0.66898862731483832</v>
      </c>
      <c r="N21" s="15">
        <f>('[1]%DD corr.'!N177/'[1]%DD corr.'!N$57)*('[1]NPSF corr.'!N175/'[1]NPSF corr.'!N$55)*((('[1]A corr.'!$L$2+'6X TPRs'!$B21)/('[1]A corr.'!$L$2+'[1]A corr.'!$L$3))^2)</f>
        <v>0.67882595125392797</v>
      </c>
      <c r="O21" s="16">
        <f>('[1]%DD corr.'!O177/'[1]%DD corr.'!O$57)*('[1]NPSF corr.'!O175/'[1]NPSF corr.'!O$55)*((('[1]A corr.'!$L$2+'6X TPRs'!$B21)/('[1]A corr.'!$L$2+'[1]A corr.'!$L$3))^2)</f>
        <v>0.68592303830653556</v>
      </c>
      <c r="P21" s="15">
        <f>('[1]%DD corr.'!P177/'[1]%DD corr.'!P$57)*('[1]NPSF corr.'!P175/'[1]NPSF corr.'!P$55)*((('[1]A corr.'!$L$2+'6X TPRs'!$B21)/('[1]A corr.'!$L$2+'[1]A corr.'!$L$3))^2)</f>
        <v>0.70348684814052176</v>
      </c>
      <c r="Q21" s="16">
        <f>('[1]%DD corr.'!Q177/'[1]%DD corr.'!Q$57)*('[1]NPSF corr.'!Q175/'[1]NPSF corr.'!Q$55)*((('[1]A corr.'!$L$2+'6X TPRs'!$B21)/('[1]A corr.'!$L$2+'[1]A corr.'!$L$3))^2)</f>
        <v>0.71593595969374879</v>
      </c>
      <c r="R21" s="15">
        <f>('[1]%DD corr.'!R177/'[1]%DD corr.'!R$57)*('[1]NPSF corr.'!R175/'[1]NPSF corr.'!R$55)*((('[1]A corr.'!$L$2+'6X TPRs'!$B21)/('[1]A corr.'!$L$2+'[1]A corr.'!$L$3))^2)</f>
        <v>0.7259569913135282</v>
      </c>
      <c r="S21" s="17">
        <f>('[1]%DD corr.'!S177/'[1]%DD corr.'!S$57)*('[1]NPSF corr.'!S175/'[1]NPSF corr.'!S$55)*((('[1]A corr.'!$L$2+'6X TPRs'!$B21)/('[1]A corr.'!$L$2+'[1]A corr.'!$L$3))^2)</f>
        <v>0.73267214349718934</v>
      </c>
    </row>
    <row r="22" spans="2:19" x14ac:dyDescent="0.25">
      <c r="B22" s="9">
        <v>18</v>
      </c>
      <c r="C22" s="14">
        <f>('[1]%DD corr.'!C187/'[1]%DD corr.'!C$57)*('[1]NPSF corr.'!C185/'[1]NPSF corr.'!C$55)*((('[1]A corr.'!$L$2+'6X TPRs'!$B22)/('[1]A corr.'!$L$2+'[1]A corr.'!$L$3))^2)</f>
        <v>0.54956101881193553</v>
      </c>
      <c r="D22" s="15">
        <f>('[1]%DD corr.'!D187/'[1]%DD corr.'!D$57)*('[1]NPSF corr.'!D185/'[1]NPSF corr.'!D$55)*((('[1]A corr.'!$L$2+'6X TPRs'!$B22)/('[1]A corr.'!$L$2+'[1]A corr.'!$L$3))^2)</f>
        <v>0.56132186008875951</v>
      </c>
      <c r="E22" s="16">
        <f>('[1]%DD corr.'!E187/'[1]%DD corr.'!E$57)*('[1]NPSF corr.'!E185/'[1]NPSF corr.'!E$55)*((('[1]A corr.'!$L$2+'6X TPRs'!$B22)/('[1]A corr.'!$L$2+'[1]A corr.'!$L$3))^2)</f>
        <v>0.56905700149400906</v>
      </c>
      <c r="F22" s="15">
        <f>('[1]%DD corr.'!F187/'[1]%DD corr.'!F$57)*('[1]NPSF corr.'!F185/'[1]NPSF corr.'!F$55)*((('[1]A corr.'!$L$2+'6X TPRs'!$B22)/('[1]A corr.'!$L$2+'[1]A corr.'!$L$3))^2)</f>
        <v>0.57684616463159022</v>
      </c>
      <c r="G22" s="16">
        <f>('[1]%DD corr.'!G187/'[1]%DD corr.'!G$57)*('[1]NPSF corr.'!G185/'[1]NPSF corr.'!G$55)*((('[1]A corr.'!$L$2+'6X TPRs'!$B22)/('[1]A corr.'!$L$2+'[1]A corr.'!$L$3))^2)</f>
        <v>0.58528301556323026</v>
      </c>
      <c r="H22" s="15">
        <f>('[1]%DD corr.'!H187/'[1]%DD corr.'!H$57)*('[1]NPSF corr.'!H185/'[1]NPSF corr.'!H$55)*((('[1]A corr.'!$L$2+'6X TPRs'!$B22)/('[1]A corr.'!$L$2+'[1]A corr.'!$L$3))^2)</f>
        <v>0.59420871058561942</v>
      </c>
      <c r="I22" s="16">
        <f>('[1]%DD corr.'!I187/'[1]%DD corr.'!I$57)*('[1]NPSF corr.'!I185/'[1]NPSF corr.'!I$55)*((('[1]A corr.'!$L$2+'6X TPRs'!$B22)/('[1]A corr.'!$L$2+'[1]A corr.'!$L$3))^2)</f>
        <v>0.60203419388643253</v>
      </c>
      <c r="J22" s="15">
        <f>('[1]%DD corr.'!J187/'[1]%DD corr.'!J$57)*('[1]NPSF corr.'!J185/'[1]NPSF corr.'!J$55)*((('[1]A corr.'!$L$2+'6X TPRs'!$B22)/('[1]A corr.'!$L$2+'[1]A corr.'!$L$3))^2)</f>
        <v>0.6093177208183892</v>
      </c>
      <c r="K22" s="16">
        <f>('[1]%DD corr.'!K187/'[1]%DD corr.'!K$57)*('[1]NPSF corr.'!K185/'[1]NPSF corr.'!K$55)*((('[1]A corr.'!$L$2+'6X TPRs'!$B22)/('[1]A corr.'!$L$2+'[1]A corr.'!$L$3))^2)</f>
        <v>0.62328635338697969</v>
      </c>
      <c r="L22" s="15">
        <f>('[1]%DD corr.'!L187/'[1]%DD corr.'!L$57)*('[1]NPSF corr.'!L185/'[1]NPSF corr.'!L$55)*((('[1]A corr.'!$L$2+'6X TPRs'!$B22)/('[1]A corr.'!$L$2+'[1]A corr.'!$L$3))^2)</f>
        <v>0.63482416190868374</v>
      </c>
      <c r="M22" s="16">
        <f>('[1]%DD corr.'!M187/'[1]%DD corr.'!M$57)*('[1]NPSF corr.'!M185/'[1]NPSF corr.'!M$55)*((('[1]A corr.'!$L$2+'6X TPRs'!$B22)/('[1]A corr.'!$L$2+'[1]A corr.'!$L$3))^2)</f>
        <v>0.64434773670629819</v>
      </c>
      <c r="N22" s="15">
        <f>('[1]%DD corr.'!N187/'[1]%DD corr.'!N$57)*('[1]NPSF corr.'!N185/'[1]NPSF corr.'!N$55)*((('[1]A corr.'!$L$2+'6X TPRs'!$B22)/('[1]A corr.'!$L$2+'[1]A corr.'!$L$3))^2)</f>
        <v>0.65462856267535607</v>
      </c>
      <c r="O22" s="16">
        <f>('[1]%DD corr.'!O187/'[1]%DD corr.'!O$57)*('[1]NPSF corr.'!O185/'[1]NPSF corr.'!O$55)*((('[1]A corr.'!$L$2+'6X TPRs'!$B22)/('[1]A corr.'!$L$2+'[1]A corr.'!$L$3))^2)</f>
        <v>0.66184882523402511</v>
      </c>
      <c r="P22" s="15">
        <f>('[1]%DD corr.'!P187/'[1]%DD corr.'!P$57)*('[1]NPSF corr.'!P185/'[1]NPSF corr.'!P$55)*((('[1]A corr.'!$L$2+'6X TPRs'!$B22)/('[1]A corr.'!$L$2+'[1]A corr.'!$L$3))^2)</f>
        <v>0.67996864813466407</v>
      </c>
      <c r="Q22" s="16">
        <f>('[1]%DD corr.'!Q187/'[1]%DD corr.'!Q$57)*('[1]NPSF corr.'!Q185/'[1]NPSF corr.'!Q$55)*((('[1]A corr.'!$L$2+'6X TPRs'!$B22)/('[1]A corr.'!$L$2+'[1]A corr.'!$L$3))^2)</f>
        <v>0.69318073794394663</v>
      </c>
      <c r="R22" s="15">
        <f>('[1]%DD corr.'!R187/'[1]%DD corr.'!R$57)*('[1]NPSF corr.'!R185/'[1]NPSF corr.'!R$55)*((('[1]A corr.'!$L$2+'6X TPRs'!$B22)/('[1]A corr.'!$L$2+'[1]A corr.'!$L$3))^2)</f>
        <v>0.70310896717406302</v>
      </c>
      <c r="S22" s="17">
        <f>('[1]%DD corr.'!S187/'[1]%DD corr.'!S$57)*('[1]NPSF corr.'!S185/'[1]NPSF corr.'!S$55)*((('[1]A corr.'!$L$2+'6X TPRs'!$B22)/('[1]A corr.'!$L$2+'[1]A corr.'!$L$3))^2)</f>
        <v>0.71058885459842025</v>
      </c>
    </row>
    <row r="23" spans="2:19" x14ac:dyDescent="0.25">
      <c r="B23" s="9">
        <v>19</v>
      </c>
      <c r="C23" s="14">
        <f>('[1]%DD corr.'!C197/'[1]%DD corr.'!C$57)*('[1]NPSF corr.'!C195/'[1]NPSF corr.'!C$55)*((('[1]A corr.'!$L$2+'6X TPRs'!$B23)/('[1]A corr.'!$L$2+'[1]A corr.'!$L$3))^2)</f>
        <v>0.52474049251968335</v>
      </c>
      <c r="D23" s="15">
        <f>('[1]%DD corr.'!D197/'[1]%DD corr.'!D$57)*('[1]NPSF corr.'!D195/'[1]NPSF corr.'!D$55)*((('[1]A corr.'!$L$2+'6X TPRs'!$B23)/('[1]A corr.'!$L$2+'[1]A corr.'!$L$3))^2)</f>
        <v>0.53661785832534259</v>
      </c>
      <c r="E23" s="16">
        <f>('[1]%DD corr.'!E197/'[1]%DD corr.'!E$57)*('[1]NPSF corr.'!E195/'[1]NPSF corr.'!E$55)*((('[1]A corr.'!$L$2+'6X TPRs'!$B23)/('[1]A corr.'!$L$2+'[1]A corr.'!$L$3))^2)</f>
        <v>0.54430359290063957</v>
      </c>
      <c r="F23" s="15">
        <f>('[1]%DD corr.'!F197/'[1]%DD corr.'!F$57)*('[1]NPSF corr.'!F195/'[1]NPSF corr.'!F$55)*((('[1]A corr.'!$L$2+'6X TPRs'!$B23)/('[1]A corr.'!$L$2+'[1]A corr.'!$L$3))^2)</f>
        <v>0.55248983811778585</v>
      </c>
      <c r="G23" s="16">
        <f>('[1]%DD corr.'!G197/'[1]%DD corr.'!G$57)*('[1]NPSF corr.'!G195/'[1]NPSF corr.'!G$55)*((('[1]A corr.'!$L$2+'6X TPRs'!$B23)/('[1]A corr.'!$L$2+'[1]A corr.'!$L$3))^2)</f>
        <v>0.56050525285238717</v>
      </c>
      <c r="H23" s="15">
        <f>('[1]%DD corr.'!H197/'[1]%DD corr.'!H$57)*('[1]NPSF corr.'!H195/'[1]NPSF corr.'!H$55)*((('[1]A corr.'!$L$2+'6X TPRs'!$B23)/('[1]A corr.'!$L$2+'[1]A corr.'!$L$3))^2)</f>
        <v>0.56923644268950169</v>
      </c>
      <c r="I23" s="16">
        <f>('[1]%DD corr.'!I197/'[1]%DD corr.'!I$57)*('[1]NPSF corr.'!I195/'[1]NPSF corr.'!I$55)*((('[1]A corr.'!$L$2+'6X TPRs'!$B23)/('[1]A corr.'!$L$2+'[1]A corr.'!$L$3))^2)</f>
        <v>0.57714512911294147</v>
      </c>
      <c r="J23" s="15">
        <f>('[1]%DD corr.'!J197/'[1]%DD corr.'!J$57)*('[1]NPSF corr.'!J195/'[1]NPSF corr.'!J$55)*((('[1]A corr.'!$L$2+'6X TPRs'!$B23)/('[1]A corr.'!$L$2+'[1]A corr.'!$L$3))^2)</f>
        <v>0.58446428019646168</v>
      </c>
      <c r="K23" s="16">
        <f>('[1]%DD corr.'!K197/'[1]%DD corr.'!K$57)*('[1]NPSF corr.'!K195/'[1]NPSF corr.'!K$55)*((('[1]A corr.'!$L$2+'6X TPRs'!$B23)/('[1]A corr.'!$L$2+'[1]A corr.'!$L$3))^2)</f>
        <v>0.59879881008940394</v>
      </c>
      <c r="L23" s="15">
        <f>('[1]%DD corr.'!L197/'[1]%DD corr.'!L$57)*('[1]NPSF corr.'!L195/'[1]NPSF corr.'!L$55)*((('[1]A corr.'!$L$2+'6X TPRs'!$B23)/('[1]A corr.'!$L$2+'[1]A corr.'!$L$3))^2)</f>
        <v>0.61039996328721191</v>
      </c>
      <c r="M23" s="16">
        <f>('[1]%DD corr.'!M197/'[1]%DD corr.'!M$57)*('[1]NPSF corr.'!M195/'[1]NPSF corr.'!M$55)*((('[1]A corr.'!$L$2+'6X TPRs'!$B23)/('[1]A corr.'!$L$2+'[1]A corr.'!$L$3))^2)</f>
        <v>0.62014482506106916</v>
      </c>
      <c r="N23" s="15">
        <f>('[1]%DD corr.'!N197/'[1]%DD corr.'!N$57)*('[1]NPSF corr.'!N195/'[1]NPSF corr.'!N$55)*((('[1]A corr.'!$L$2+'6X TPRs'!$B23)/('[1]A corr.'!$L$2+'[1]A corr.'!$L$3))^2)</f>
        <v>0.63075353647333854</v>
      </c>
      <c r="O23" s="16">
        <f>('[1]%DD corr.'!O197/'[1]%DD corr.'!O$57)*('[1]NPSF corr.'!O195/'[1]NPSF corr.'!O$55)*((('[1]A corr.'!$L$2+'6X TPRs'!$B23)/('[1]A corr.'!$L$2+'[1]A corr.'!$L$3))^2)</f>
        <v>0.63820679279454839</v>
      </c>
      <c r="P23" s="15">
        <f>('[1]%DD corr.'!P197/'[1]%DD corr.'!P$57)*('[1]NPSF corr.'!P195/'[1]NPSF corr.'!P$55)*((('[1]A corr.'!$L$2+'6X TPRs'!$B23)/('[1]A corr.'!$L$2+'[1]A corr.'!$L$3))^2)</f>
        <v>0.65717005901955894</v>
      </c>
      <c r="Q23" s="16">
        <f>('[1]%DD corr.'!Q197/'[1]%DD corr.'!Q$57)*('[1]NPSF corr.'!Q195/'[1]NPSF corr.'!Q$55)*((('[1]A corr.'!$L$2+'6X TPRs'!$B23)/('[1]A corr.'!$L$2+'[1]A corr.'!$L$3))^2)</f>
        <v>0.67102723918626728</v>
      </c>
      <c r="R23" s="15">
        <f>('[1]%DD corr.'!R197/'[1]%DD corr.'!R$57)*('[1]NPSF corr.'!R195/'[1]NPSF corr.'!R$55)*((('[1]A corr.'!$L$2+'6X TPRs'!$B23)/('[1]A corr.'!$L$2+'[1]A corr.'!$L$3))^2)</f>
        <v>0.68159131874304624</v>
      </c>
      <c r="S23" s="17">
        <f>('[1]%DD corr.'!S197/'[1]%DD corr.'!S$57)*('[1]NPSF corr.'!S195/'[1]NPSF corr.'!S$55)*((('[1]A corr.'!$L$2+'6X TPRs'!$B23)/('[1]A corr.'!$L$2+'[1]A corr.'!$L$3))^2)</f>
        <v>0.6893363581928037</v>
      </c>
    </row>
    <row r="24" spans="2:19" x14ac:dyDescent="0.25">
      <c r="B24" s="9">
        <v>20</v>
      </c>
      <c r="C24" s="14">
        <f>('[1]%DD corr.'!C207/'[1]%DD corr.'!C$57)*('[1]NPSF corr.'!C205/'[1]NPSF corr.'!C$55)*((('[1]A corr.'!$L$2+'6X TPRs'!$B24)/('[1]A corr.'!$L$2+'[1]A corr.'!$L$3))^2)</f>
        <v>0.50102102712540619</v>
      </c>
      <c r="D24" s="15">
        <f>('[1]%DD corr.'!D207/'[1]%DD corr.'!D$57)*('[1]NPSF corr.'!D205/'[1]NPSF corr.'!D$55)*((('[1]A corr.'!$L$2+'6X TPRs'!$B24)/('[1]A corr.'!$L$2+'[1]A corr.'!$L$3))^2)</f>
        <v>0.51344432558260655</v>
      </c>
      <c r="E24" s="16">
        <f>('[1]%DD corr.'!E207/'[1]%DD corr.'!E$57)*('[1]NPSF corr.'!E205/'[1]NPSF corr.'!E$55)*((('[1]A corr.'!$L$2+'6X TPRs'!$B24)/('[1]A corr.'!$L$2+'[1]A corr.'!$L$3))^2)</f>
        <v>0.52134772253871975</v>
      </c>
      <c r="F24" s="15">
        <f>('[1]%DD corr.'!F207/'[1]%DD corr.'!F$57)*('[1]NPSF corr.'!F205/'[1]NPSF corr.'!F$55)*((('[1]A corr.'!$L$2+'6X TPRs'!$B24)/('[1]A corr.'!$L$2+'[1]A corr.'!$L$3))^2)</f>
        <v>0.52807432049968051</v>
      </c>
      <c r="G24" s="16">
        <f>('[1]%DD corr.'!G207/'[1]%DD corr.'!G$57)*('[1]NPSF corr.'!G205/'[1]NPSF corr.'!G$55)*((('[1]A corr.'!$L$2+'6X TPRs'!$B24)/('[1]A corr.'!$L$2+'[1]A corr.'!$L$3))^2)</f>
        <v>0.53668006503330401</v>
      </c>
      <c r="H24" s="15">
        <f>('[1]%DD corr.'!H207/'[1]%DD corr.'!H$57)*('[1]NPSF corr.'!H205/'[1]NPSF corr.'!H$55)*((('[1]A corr.'!$L$2+'6X TPRs'!$B24)/('[1]A corr.'!$L$2+'[1]A corr.'!$L$3))^2)</f>
        <v>0.54517335315479276</v>
      </c>
      <c r="I24" s="16">
        <f>('[1]%DD corr.'!I207/'[1]%DD corr.'!I$57)*('[1]NPSF corr.'!I205/'[1]NPSF corr.'!I$55)*((('[1]A corr.'!$L$2+'6X TPRs'!$B24)/('[1]A corr.'!$L$2+'[1]A corr.'!$L$3))^2)</f>
        <v>0.55310619823726437</v>
      </c>
      <c r="J24" s="15">
        <f>('[1]%DD corr.'!J207/'[1]%DD corr.'!J$57)*('[1]NPSF corr.'!J205/'[1]NPSF corr.'!J$55)*((('[1]A corr.'!$L$2+'6X TPRs'!$B24)/('[1]A corr.'!$L$2+'[1]A corr.'!$L$3))^2)</f>
        <v>0.56047907833022059</v>
      </c>
      <c r="K24" s="16">
        <f>('[1]%DD corr.'!K207/'[1]%DD corr.'!K$57)*('[1]NPSF corr.'!K205/'[1]NPSF corr.'!K$55)*((('[1]A corr.'!$L$2+'6X TPRs'!$B24)/('[1]A corr.'!$L$2+'[1]A corr.'!$L$3))^2)</f>
        <v>0.57476706893681218</v>
      </c>
      <c r="L24" s="15">
        <f>('[1]%DD corr.'!L207/'[1]%DD corr.'!L$57)*('[1]NPSF corr.'!L205/'[1]NPSF corr.'!L$55)*((('[1]A corr.'!$L$2+'6X TPRs'!$B24)/('[1]A corr.'!$L$2+'[1]A corr.'!$L$3))^2)</f>
        <v>0.58680492741130041</v>
      </c>
      <c r="M24" s="16">
        <f>('[1]%DD corr.'!M207/'[1]%DD corr.'!M$57)*('[1]NPSF corr.'!M205/'[1]NPSF corr.'!M$55)*((('[1]A corr.'!$L$2+'6X TPRs'!$B24)/('[1]A corr.'!$L$2+'[1]A corr.'!$L$3))^2)</f>
        <v>0.59713959518664195</v>
      </c>
      <c r="N24" s="15">
        <f>('[1]%DD corr.'!N207/'[1]%DD corr.'!N$57)*('[1]NPSF corr.'!N205/'[1]NPSF corr.'!N$55)*((('[1]A corr.'!$L$2+'6X TPRs'!$B24)/('[1]A corr.'!$L$2+'[1]A corr.'!$L$3))^2)</f>
        <v>0.60835824897121005</v>
      </c>
      <c r="O24" s="16">
        <f>('[1]%DD corr.'!O207/'[1]%DD corr.'!O$57)*('[1]NPSF corr.'!O205/'[1]NPSF corr.'!O$55)*((('[1]A corr.'!$L$2+'6X TPRs'!$B24)/('[1]A corr.'!$L$2+'[1]A corr.'!$L$3))^2)</f>
        <v>0.6158072912978052</v>
      </c>
      <c r="P24" s="15">
        <f>('[1]%DD corr.'!P207/'[1]%DD corr.'!P$57)*('[1]NPSF corr.'!P205/'[1]NPSF corr.'!P$55)*((('[1]A corr.'!$L$2+'6X TPRs'!$B24)/('[1]A corr.'!$L$2+'[1]A corr.'!$L$3))^2)</f>
        <v>0.63490147770266936</v>
      </c>
      <c r="Q24" s="16">
        <f>('[1]%DD corr.'!Q207/'[1]%DD corr.'!Q$57)*('[1]NPSF corr.'!Q205/'[1]NPSF corr.'!Q$55)*((('[1]A corr.'!$L$2+'6X TPRs'!$B24)/('[1]A corr.'!$L$2+'[1]A corr.'!$L$3))^2)</f>
        <v>0.64913525284836959</v>
      </c>
      <c r="R24" s="15">
        <f>('[1]%DD corr.'!R207/'[1]%DD corr.'!R$57)*('[1]NPSF corr.'!R205/'[1]NPSF corr.'!R$55)*((('[1]A corr.'!$L$2+'6X TPRs'!$B24)/('[1]A corr.'!$L$2+'[1]A corr.'!$L$3))^2)</f>
        <v>0.65985126633241065</v>
      </c>
      <c r="S24" s="17">
        <f>('[1]%DD corr.'!S207/'[1]%DD corr.'!S$57)*('[1]NPSF corr.'!S205/'[1]NPSF corr.'!S$55)*((('[1]A corr.'!$L$2+'6X TPRs'!$B24)/('[1]A corr.'!$L$2+'[1]A corr.'!$L$3))^2)</f>
        <v>0.66813650231665356</v>
      </c>
    </row>
    <row r="25" spans="2:19" x14ac:dyDescent="0.25">
      <c r="B25" s="9">
        <v>21</v>
      </c>
      <c r="C25" s="14">
        <f>('[1]%DD corr.'!C217/'[1]%DD corr.'!C$57)*('[1]NPSF corr.'!C215/'[1]NPSF corr.'!C$55)*((('[1]A corr.'!$L$2+'6X TPRs'!$B25)/('[1]A corr.'!$L$2+'[1]A corr.'!$L$3))^2)</f>
        <v>0.47875660312470902</v>
      </c>
      <c r="D25" s="15">
        <f>('[1]%DD corr.'!D217/'[1]%DD corr.'!D$57)*('[1]NPSF corr.'!D215/'[1]NPSF corr.'!D$55)*((('[1]A corr.'!$L$2+'6X TPRs'!$B25)/('[1]A corr.'!$L$2+'[1]A corr.'!$L$3))^2)</f>
        <v>0.49071428750126339</v>
      </c>
      <c r="E25" s="16">
        <f>('[1]%DD corr.'!E217/'[1]%DD corr.'!E$57)*('[1]NPSF corr.'!E215/'[1]NPSF corr.'!E$55)*((('[1]A corr.'!$L$2+'6X TPRs'!$B25)/('[1]A corr.'!$L$2+'[1]A corr.'!$L$3))^2)</f>
        <v>0.49864434419608999</v>
      </c>
      <c r="F25" s="15">
        <f>('[1]%DD corr.'!F217/'[1]%DD corr.'!F$57)*('[1]NPSF corr.'!F215/'[1]NPSF corr.'!F$55)*((('[1]A corr.'!$L$2+'6X TPRs'!$B25)/('[1]A corr.'!$L$2+'[1]A corr.'!$L$3))^2)</f>
        <v>0.50562135274039988</v>
      </c>
      <c r="G25" s="16">
        <f>('[1]%DD corr.'!G217/'[1]%DD corr.'!G$57)*('[1]NPSF corr.'!G215/'[1]NPSF corr.'!G$55)*((('[1]A corr.'!$L$2+'6X TPRs'!$B25)/('[1]A corr.'!$L$2+'[1]A corr.'!$L$3))^2)</f>
        <v>0.51390170287308012</v>
      </c>
      <c r="H25" s="15">
        <f>('[1]%DD corr.'!H217/'[1]%DD corr.'!H$57)*('[1]NPSF corr.'!H215/'[1]NPSF corr.'!H$55)*((('[1]A corr.'!$L$2+'6X TPRs'!$B25)/('[1]A corr.'!$L$2+'[1]A corr.'!$L$3))^2)</f>
        <v>0.52231742346346</v>
      </c>
      <c r="I25" s="16">
        <f>('[1]%DD corr.'!I217/'[1]%DD corr.'!I$57)*('[1]NPSF corr.'!I215/'[1]NPSF corr.'!I$55)*((('[1]A corr.'!$L$2+'6X TPRs'!$B25)/('[1]A corr.'!$L$2+'[1]A corr.'!$L$3))^2)</f>
        <v>0.53029676774200707</v>
      </c>
      <c r="J25" s="15">
        <f>('[1]%DD corr.'!J217/'[1]%DD corr.'!J$57)*('[1]NPSF corr.'!J215/'[1]NPSF corr.'!J$55)*((('[1]A corr.'!$L$2+'6X TPRs'!$B25)/('[1]A corr.'!$L$2+'[1]A corr.'!$L$3))^2)</f>
        <v>0.53771069704197394</v>
      </c>
      <c r="K25" s="16">
        <f>('[1]%DD corr.'!K217/'[1]%DD corr.'!K$57)*('[1]NPSF corr.'!K215/'[1]NPSF corr.'!K$55)*((('[1]A corr.'!$L$2+'6X TPRs'!$B25)/('[1]A corr.'!$L$2+'[1]A corr.'!$L$3))^2)</f>
        <v>0.55213961100802433</v>
      </c>
      <c r="L25" s="15">
        <f>('[1]%DD corr.'!L217/'[1]%DD corr.'!L$57)*('[1]NPSF corr.'!L215/'[1]NPSF corr.'!L$55)*((('[1]A corr.'!$L$2+'6X TPRs'!$B25)/('[1]A corr.'!$L$2+'[1]A corr.'!$L$3))^2)</f>
        <v>0.56404168128499066</v>
      </c>
      <c r="M25" s="16">
        <f>('[1]%DD corr.'!M217/'[1]%DD corr.'!M$57)*('[1]NPSF corr.'!M215/'[1]NPSF corr.'!M$55)*((('[1]A corr.'!$L$2+'6X TPRs'!$B25)/('[1]A corr.'!$L$2+'[1]A corr.'!$L$3))^2)</f>
        <v>0.57440021679462405</v>
      </c>
      <c r="N25" s="15">
        <f>('[1]%DD corr.'!N217/'[1]%DD corr.'!N$57)*('[1]NPSF corr.'!N215/'[1]NPSF corr.'!N$55)*((('[1]A corr.'!$L$2+'6X TPRs'!$B25)/('[1]A corr.'!$L$2+'[1]A corr.'!$L$3))^2)</f>
        <v>0.58561776927033882</v>
      </c>
      <c r="O25" s="16">
        <f>('[1]%DD corr.'!O217/'[1]%DD corr.'!O$57)*('[1]NPSF corr.'!O215/'[1]NPSF corr.'!O$55)*((('[1]A corr.'!$L$2+'6X TPRs'!$B25)/('[1]A corr.'!$L$2+'[1]A corr.'!$L$3))^2)</f>
        <v>0.59349097209570401</v>
      </c>
      <c r="P25" s="15">
        <f>('[1]%DD corr.'!P217/'[1]%DD corr.'!P$57)*('[1]NPSF corr.'!P215/'[1]NPSF corr.'!P$55)*((('[1]A corr.'!$L$2+'6X TPRs'!$B25)/('[1]A corr.'!$L$2+'[1]A corr.'!$L$3))^2)</f>
        <v>0.61316721365515137</v>
      </c>
      <c r="Q25" s="16">
        <f>('[1]%DD corr.'!Q217/'[1]%DD corr.'!Q$57)*('[1]NPSF corr.'!Q215/'[1]NPSF corr.'!Q$55)*((('[1]A corr.'!$L$2+'6X TPRs'!$B25)/('[1]A corr.'!$L$2+'[1]A corr.'!$L$3))^2)</f>
        <v>0.62768874060923152</v>
      </c>
      <c r="R25" s="15">
        <f>('[1]%DD corr.'!R217/'[1]%DD corr.'!R$57)*('[1]NPSF corr.'!R215/'[1]NPSF corr.'!R$55)*((('[1]A corr.'!$L$2+'6X TPRs'!$B25)/('[1]A corr.'!$L$2+'[1]A corr.'!$L$3))^2)</f>
        <v>0.63877464323277056</v>
      </c>
      <c r="S25" s="17">
        <f>('[1]%DD corr.'!S217/'[1]%DD corr.'!S$57)*('[1]NPSF corr.'!S215/'[1]NPSF corr.'!S$55)*((('[1]A corr.'!$L$2+'6X TPRs'!$B25)/('[1]A corr.'!$L$2+'[1]A corr.'!$L$3))^2)</f>
        <v>0.64757755088438995</v>
      </c>
    </row>
    <row r="26" spans="2:19" x14ac:dyDescent="0.25">
      <c r="B26" s="9">
        <v>22</v>
      </c>
      <c r="C26" s="14">
        <f>('[1]%DD corr.'!C227/'[1]%DD corr.'!C$57)*('[1]NPSF corr.'!C225/'[1]NPSF corr.'!C$55)*((('[1]A corr.'!$L$2+'6X TPRs'!$B26)/('[1]A corr.'!$L$2+'[1]A corr.'!$L$3))^2)</f>
        <v>0.45778952231016812</v>
      </c>
      <c r="D26" s="15">
        <f>('[1]%DD corr.'!D227/'[1]%DD corr.'!D$57)*('[1]NPSF corr.'!D225/'[1]NPSF corr.'!D$55)*((('[1]A corr.'!$L$2+'6X TPRs'!$B26)/('[1]A corr.'!$L$2+'[1]A corr.'!$L$3))^2)</f>
        <v>0.46975997262286939</v>
      </c>
      <c r="E26" s="16">
        <f>('[1]%DD corr.'!E227/'[1]%DD corr.'!E$57)*('[1]NPSF corr.'!E225/'[1]NPSF corr.'!E$55)*((('[1]A corr.'!$L$2+'6X TPRs'!$B26)/('[1]A corr.'!$L$2+'[1]A corr.'!$L$3))^2)</f>
        <v>0.47744125596510351</v>
      </c>
      <c r="F26" s="15">
        <f>('[1]%DD corr.'!F227/'[1]%DD corr.'!F$57)*('[1]NPSF corr.'!F225/'[1]NPSF corr.'!F$55)*((('[1]A corr.'!$L$2+'6X TPRs'!$B26)/('[1]A corr.'!$L$2+'[1]A corr.'!$L$3))^2)</f>
        <v>0.48374618964880528</v>
      </c>
      <c r="G26" s="16">
        <f>('[1]%DD corr.'!G227/'[1]%DD corr.'!G$57)*('[1]NPSF corr.'!G225/'[1]NPSF corr.'!G$55)*((('[1]A corr.'!$L$2+'6X TPRs'!$B26)/('[1]A corr.'!$L$2+'[1]A corr.'!$L$3))^2)</f>
        <v>0.49188529913994189</v>
      </c>
      <c r="H26" s="15">
        <f>('[1]%DD corr.'!H227/'[1]%DD corr.'!H$57)*('[1]NPSF corr.'!H225/'[1]NPSF corr.'!H$55)*((('[1]A corr.'!$L$2+'6X TPRs'!$B26)/('[1]A corr.'!$L$2+'[1]A corr.'!$L$3))^2)</f>
        <v>0.50009007912006986</v>
      </c>
      <c r="I26" s="16">
        <f>('[1]%DD corr.'!I227/'[1]%DD corr.'!I$57)*('[1]NPSF corr.'!I225/'[1]NPSF corr.'!I$55)*((('[1]A corr.'!$L$2+'6X TPRs'!$B26)/('[1]A corr.'!$L$2+'[1]A corr.'!$L$3))^2)</f>
        <v>0.50796035023614039</v>
      </c>
      <c r="J26" s="15">
        <f>('[1]%DD corr.'!J227/'[1]%DD corr.'!J$57)*('[1]NPSF corr.'!J225/'[1]NPSF corr.'!J$55)*((('[1]A corr.'!$L$2+'6X TPRs'!$B26)/('[1]A corr.'!$L$2+'[1]A corr.'!$L$3))^2)</f>
        <v>0.51544068127508968</v>
      </c>
      <c r="K26" s="16">
        <f>('[1]%DD corr.'!K227/'[1]%DD corr.'!K$57)*('[1]NPSF corr.'!K225/'[1]NPSF corr.'!K$55)*((('[1]A corr.'!$L$2+'6X TPRs'!$B26)/('[1]A corr.'!$L$2+'[1]A corr.'!$L$3))^2)</f>
        <v>0.52997987015793713</v>
      </c>
      <c r="L26" s="15">
        <f>('[1]%DD corr.'!L227/'[1]%DD corr.'!L$57)*('[1]NPSF corr.'!L225/'[1]NPSF corr.'!L$55)*((('[1]A corr.'!$L$2+'6X TPRs'!$B26)/('[1]A corr.'!$L$2+'[1]A corr.'!$L$3))^2)</f>
        <v>0.54188087410126728</v>
      </c>
      <c r="M26" s="16">
        <f>('[1]%DD corr.'!M227/'[1]%DD corr.'!M$57)*('[1]NPSF corr.'!M225/'[1]NPSF corr.'!M$55)*((('[1]A corr.'!$L$2+'6X TPRs'!$B26)/('[1]A corr.'!$L$2+'[1]A corr.'!$L$3))^2)</f>
        <v>0.55252454834064668</v>
      </c>
      <c r="N26" s="15">
        <f>('[1]%DD corr.'!N227/'[1]%DD corr.'!N$57)*('[1]NPSF corr.'!N225/'[1]NPSF corr.'!N$55)*((('[1]A corr.'!$L$2+'6X TPRs'!$B26)/('[1]A corr.'!$L$2+'[1]A corr.'!$L$3))^2)</f>
        <v>0.56379281899701372</v>
      </c>
      <c r="O26" s="16">
        <f>('[1]%DD corr.'!O227/'[1]%DD corr.'!O$57)*('[1]NPSF corr.'!O225/'[1]NPSF corr.'!O$55)*((('[1]A corr.'!$L$2+'6X TPRs'!$B26)/('[1]A corr.'!$L$2+'[1]A corr.'!$L$3))^2)</f>
        <v>0.57197405049478711</v>
      </c>
      <c r="P26" s="15">
        <f>('[1]%DD corr.'!P227/'[1]%DD corr.'!P$57)*('[1]NPSF corr.'!P225/'[1]NPSF corr.'!P$55)*((('[1]A corr.'!$L$2+'6X TPRs'!$B26)/('[1]A corr.'!$L$2+'[1]A corr.'!$L$3))^2)</f>
        <v>0.59181484330022005</v>
      </c>
      <c r="Q26" s="16">
        <f>('[1]%DD corr.'!Q227/'[1]%DD corr.'!Q$57)*('[1]NPSF corr.'!Q225/'[1]NPSF corr.'!Q$55)*((('[1]A corr.'!$L$2+'6X TPRs'!$B26)/('[1]A corr.'!$L$2+'[1]A corr.'!$L$3))^2)</f>
        <v>0.6063760747874527</v>
      </c>
      <c r="R26" s="15">
        <f>('[1]%DD corr.'!R227/'[1]%DD corr.'!R$57)*('[1]NPSF corr.'!R225/'[1]NPSF corr.'!R$55)*((('[1]A corr.'!$L$2+'6X TPRs'!$B26)/('[1]A corr.'!$L$2+'[1]A corr.'!$L$3))^2)</f>
        <v>0.61815677061670848</v>
      </c>
      <c r="S26" s="17">
        <f>('[1]%DD corr.'!S227/'[1]%DD corr.'!S$57)*('[1]NPSF corr.'!S225/'[1]NPSF corr.'!S$55)*((('[1]A corr.'!$L$2+'6X TPRs'!$B26)/('[1]A corr.'!$L$2+'[1]A corr.'!$L$3))^2)</f>
        <v>0.62740448147096661</v>
      </c>
    </row>
    <row r="27" spans="2:19" x14ac:dyDescent="0.25">
      <c r="B27" s="9">
        <v>23</v>
      </c>
      <c r="C27" s="14">
        <f>('[1]%DD corr.'!C237/'[1]%DD corr.'!C$57)*('[1]NPSF corr.'!C235/'[1]NPSF corr.'!C$55)*((('[1]A corr.'!$L$2+'6X TPRs'!$B27)/('[1]A corr.'!$L$2+'[1]A corr.'!$L$3))^2)</f>
        <v>0.4371580318154582</v>
      </c>
      <c r="D27" s="15">
        <f>('[1]%DD corr.'!D237/'[1]%DD corr.'!D$57)*('[1]NPSF corr.'!D235/'[1]NPSF corr.'!D$55)*((('[1]A corr.'!$L$2+'6X TPRs'!$B27)/('[1]A corr.'!$L$2+'[1]A corr.'!$L$3))^2)</f>
        <v>0.44899104141911644</v>
      </c>
      <c r="E27" s="16">
        <f>('[1]%DD corr.'!E237/'[1]%DD corr.'!E$57)*('[1]NPSF corr.'!E235/'[1]NPSF corr.'!E$55)*((('[1]A corr.'!$L$2+'6X TPRs'!$B27)/('[1]A corr.'!$L$2+'[1]A corr.'!$L$3))^2)</f>
        <v>0.45664270790672895</v>
      </c>
      <c r="F27" s="15">
        <f>('[1]%DD corr.'!F237/'[1]%DD corr.'!F$57)*('[1]NPSF corr.'!F235/'[1]NPSF corr.'!F$55)*((('[1]A corr.'!$L$2+'6X TPRs'!$B27)/('[1]A corr.'!$L$2+'[1]A corr.'!$L$3))^2)</f>
        <v>0.46317862258413944</v>
      </c>
      <c r="G27" s="16">
        <f>('[1]%DD corr.'!G237/'[1]%DD corr.'!G$57)*('[1]NPSF corr.'!G235/'[1]NPSF corr.'!G$55)*((('[1]A corr.'!$L$2+'6X TPRs'!$B27)/('[1]A corr.'!$L$2+'[1]A corr.'!$L$3))^2)</f>
        <v>0.47079292910212445</v>
      </c>
      <c r="H27" s="15">
        <f>('[1]%DD corr.'!H237/'[1]%DD corr.'!H$57)*('[1]NPSF corr.'!H235/'[1]NPSF corr.'!H$55)*((('[1]A corr.'!$L$2+'6X TPRs'!$B27)/('[1]A corr.'!$L$2+'[1]A corr.'!$L$3))^2)</f>
        <v>0.4787694447404699</v>
      </c>
      <c r="I27" s="16">
        <f>('[1]%DD corr.'!I237/'[1]%DD corr.'!I$57)*('[1]NPSF corr.'!I235/'[1]NPSF corr.'!I$55)*((('[1]A corr.'!$L$2+'6X TPRs'!$B27)/('[1]A corr.'!$L$2+'[1]A corr.'!$L$3))^2)</f>
        <v>0.48668245986234659</v>
      </c>
      <c r="J27" s="15">
        <f>('[1]%DD corr.'!J237/'[1]%DD corr.'!J$57)*('[1]NPSF corr.'!J235/'[1]NPSF corr.'!J$55)*((('[1]A corr.'!$L$2+'6X TPRs'!$B27)/('[1]A corr.'!$L$2+'[1]A corr.'!$L$3))^2)</f>
        <v>0.49424867117389676</v>
      </c>
      <c r="K27" s="16">
        <f>('[1]%DD corr.'!K237/'[1]%DD corr.'!K$57)*('[1]NPSF corr.'!K235/'[1]NPSF corr.'!K$55)*((('[1]A corr.'!$L$2+'6X TPRs'!$B27)/('[1]A corr.'!$L$2+'[1]A corr.'!$L$3))^2)</f>
        <v>0.50814368950911337</v>
      </c>
      <c r="L27" s="15">
        <f>('[1]%DD corr.'!L237/'[1]%DD corr.'!L$57)*('[1]NPSF corr.'!L235/'[1]NPSF corr.'!L$55)*((('[1]A corr.'!$L$2+'6X TPRs'!$B27)/('[1]A corr.'!$L$2+'[1]A corr.'!$L$3))^2)</f>
        <v>0.51983027966724338</v>
      </c>
      <c r="M27" s="16">
        <f>('[1]%DD corr.'!M237/'[1]%DD corr.'!M$57)*('[1]NPSF corr.'!M235/'[1]NPSF corr.'!M$55)*((('[1]A corr.'!$L$2+'6X TPRs'!$B27)/('[1]A corr.'!$L$2+'[1]A corr.'!$L$3))^2)</f>
        <v>0.53056967070096817</v>
      </c>
      <c r="N27" s="15">
        <f>('[1]%DD corr.'!N237/'[1]%DD corr.'!N$57)*('[1]NPSF corr.'!N235/'[1]NPSF corr.'!N$55)*((('[1]A corr.'!$L$2+'6X TPRs'!$B27)/('[1]A corr.'!$L$2+'[1]A corr.'!$L$3))^2)</f>
        <v>0.54196456106611213</v>
      </c>
      <c r="O27" s="16">
        <f>('[1]%DD corr.'!O237/'[1]%DD corr.'!O$57)*('[1]NPSF corr.'!O235/'[1]NPSF corr.'!O$55)*((('[1]A corr.'!$L$2+'6X TPRs'!$B27)/('[1]A corr.'!$L$2+'[1]A corr.'!$L$3))^2)</f>
        <v>0.55055646213420628</v>
      </c>
      <c r="P27" s="15">
        <f>('[1]%DD corr.'!P237/'[1]%DD corr.'!P$57)*('[1]NPSF corr.'!P235/'[1]NPSF corr.'!P$55)*((('[1]A corr.'!$L$2+'6X TPRs'!$B27)/('[1]A corr.'!$L$2+'[1]A corr.'!$L$3))^2)</f>
        <v>0.57124079077927836</v>
      </c>
      <c r="Q27" s="16">
        <f>('[1]%DD corr.'!Q237/'[1]%DD corr.'!Q$57)*('[1]NPSF corr.'!Q235/'[1]NPSF corr.'!Q$55)*((('[1]A corr.'!$L$2+'6X TPRs'!$B27)/('[1]A corr.'!$L$2+'[1]A corr.'!$L$3))^2)</f>
        <v>0.58558648205549513</v>
      </c>
      <c r="R27" s="15">
        <f>('[1]%DD corr.'!R237/'[1]%DD corr.'!R$57)*('[1]NPSF corr.'!R235/'[1]NPSF corr.'!R$55)*((('[1]A corr.'!$L$2+'6X TPRs'!$B27)/('[1]A corr.'!$L$2+'[1]A corr.'!$L$3))^2)</f>
        <v>0.59744111217464968</v>
      </c>
      <c r="S27" s="17">
        <f>('[1]%DD corr.'!S237/'[1]%DD corr.'!S$57)*('[1]NPSF corr.'!S235/'[1]NPSF corr.'!S$55)*((('[1]A corr.'!$L$2+'6X TPRs'!$B27)/('[1]A corr.'!$L$2+'[1]A corr.'!$L$3))^2)</f>
        <v>0.60694662342923467</v>
      </c>
    </row>
    <row r="28" spans="2:19" x14ac:dyDescent="0.25">
      <c r="B28" s="9">
        <v>24</v>
      </c>
      <c r="C28" s="14">
        <f>('[1]%DD corr.'!C247/'[1]%DD corr.'!C$57)*('[1]NPSF corr.'!C245/'[1]NPSF corr.'!C$55)*((('[1]A corr.'!$L$2+'6X TPRs'!$B28)/('[1]A corr.'!$L$2+'[1]A corr.'!$L$3))^2)</f>
        <v>0.41749475563584254</v>
      </c>
      <c r="D28" s="15">
        <f>('[1]%DD corr.'!D247/'[1]%DD corr.'!D$57)*('[1]NPSF corr.'!D245/'[1]NPSF corr.'!D$55)*((('[1]A corr.'!$L$2+'6X TPRs'!$B28)/('[1]A corr.'!$L$2+'[1]A corr.'!$L$3))^2)</f>
        <v>0.42965620382186576</v>
      </c>
      <c r="E28" s="16">
        <f>('[1]%DD corr.'!E247/'[1]%DD corr.'!E$57)*('[1]NPSF corr.'!E245/'[1]NPSF corr.'!E$55)*((('[1]A corr.'!$L$2+'6X TPRs'!$B28)/('[1]A corr.'!$L$2+'[1]A corr.'!$L$3))^2)</f>
        <v>0.43694747745385742</v>
      </c>
      <c r="F28" s="15">
        <f>('[1]%DD corr.'!F247/'[1]%DD corr.'!F$57)*('[1]NPSF corr.'!F245/'[1]NPSF corr.'!F$55)*((('[1]A corr.'!$L$2+'6X TPRs'!$B28)/('[1]A corr.'!$L$2+'[1]A corr.'!$L$3))^2)</f>
        <v>0.44304492915239174</v>
      </c>
      <c r="G28" s="16">
        <f>('[1]%DD corr.'!G247/'[1]%DD corr.'!G$57)*('[1]NPSF corr.'!G245/'[1]NPSF corr.'!G$55)*((('[1]A corr.'!$L$2+'6X TPRs'!$B28)/('[1]A corr.'!$L$2+'[1]A corr.'!$L$3))^2)</f>
        <v>0.45059602053288789</v>
      </c>
      <c r="H28" s="15">
        <f>('[1]%DD corr.'!H247/'[1]%DD corr.'!H$57)*('[1]NPSF corr.'!H245/'[1]NPSF corr.'!H$55)*((('[1]A corr.'!$L$2+'6X TPRs'!$B28)/('[1]A corr.'!$L$2+'[1]A corr.'!$L$3))^2)</f>
        <v>0.45863120067490831</v>
      </c>
      <c r="I28" s="16">
        <f>('[1]%DD corr.'!I247/'[1]%DD corr.'!I$57)*('[1]NPSF corr.'!I245/'[1]NPSF corr.'!I$55)*((('[1]A corr.'!$L$2+'6X TPRs'!$B28)/('[1]A corr.'!$L$2+'[1]A corr.'!$L$3))^2)</f>
        <v>0.46651253124905506</v>
      </c>
      <c r="J28" s="15">
        <f>('[1]%DD corr.'!J247/'[1]%DD corr.'!J$57)*('[1]NPSF corr.'!J245/'[1]NPSF corr.'!J$55)*((('[1]A corr.'!$L$2+'6X TPRs'!$B28)/('[1]A corr.'!$L$2+'[1]A corr.'!$L$3))^2)</f>
        <v>0.4738929183224323</v>
      </c>
      <c r="K28" s="16">
        <f>('[1]%DD corr.'!K247/'[1]%DD corr.'!K$57)*('[1]NPSF corr.'!K245/'[1]NPSF corr.'!K$55)*((('[1]A corr.'!$L$2+'6X TPRs'!$B28)/('[1]A corr.'!$L$2+'[1]A corr.'!$L$3))^2)</f>
        <v>0.48803576867868964</v>
      </c>
      <c r="L28" s="15">
        <f>('[1]%DD corr.'!L247/'[1]%DD corr.'!L$57)*('[1]NPSF corr.'!L245/'[1]NPSF corr.'!L$55)*((('[1]A corr.'!$L$2+'6X TPRs'!$B28)/('[1]A corr.'!$L$2+'[1]A corr.'!$L$3))^2)</f>
        <v>0.4998575065019672</v>
      </c>
      <c r="M28" s="16">
        <f>('[1]%DD corr.'!M247/'[1]%DD corr.'!M$57)*('[1]NPSF corr.'!M245/'[1]NPSF corr.'!M$55)*((('[1]A corr.'!$L$2+'6X TPRs'!$B28)/('[1]A corr.'!$L$2+'[1]A corr.'!$L$3))^2)</f>
        <v>0.51037347814682843</v>
      </c>
      <c r="N28" s="15">
        <f>('[1]%DD corr.'!N247/'[1]%DD corr.'!N$57)*('[1]NPSF corr.'!N245/'[1]NPSF corr.'!N$55)*((('[1]A corr.'!$L$2+'6X TPRs'!$B28)/('[1]A corr.'!$L$2+'[1]A corr.'!$L$3))^2)</f>
        <v>0.52137594177072111</v>
      </c>
      <c r="O28" s="16">
        <f>('[1]%DD corr.'!O247/'[1]%DD corr.'!O$57)*('[1]NPSF corr.'!O245/'[1]NPSF corr.'!O$55)*((('[1]A corr.'!$L$2+'6X TPRs'!$B28)/('[1]A corr.'!$L$2+'[1]A corr.'!$L$3))^2)</f>
        <v>0.53023152075782443</v>
      </c>
      <c r="P28" s="15">
        <f>('[1]%DD corr.'!P247/'[1]%DD corr.'!P$57)*('[1]NPSF corr.'!P245/'[1]NPSF corr.'!P$55)*((('[1]A corr.'!$L$2+'6X TPRs'!$B28)/('[1]A corr.'!$L$2+'[1]A corr.'!$L$3))^2)</f>
        <v>0.55109632347606963</v>
      </c>
      <c r="Q28" s="16">
        <f>('[1]%DD corr.'!Q247/'[1]%DD corr.'!Q$57)*('[1]NPSF corr.'!Q245/'[1]NPSF corr.'!Q$55)*((('[1]A corr.'!$L$2+'6X TPRs'!$B28)/('[1]A corr.'!$L$2+'[1]A corr.'!$L$3))^2)</f>
        <v>0.56560373500939798</v>
      </c>
      <c r="R28" s="15">
        <f>('[1]%DD corr.'!R247/'[1]%DD corr.'!R$57)*('[1]NPSF corr.'!R245/'[1]NPSF corr.'!R$55)*((('[1]A corr.'!$L$2+'6X TPRs'!$B28)/('[1]A corr.'!$L$2+'[1]A corr.'!$L$3))^2)</f>
        <v>0.57758896308359198</v>
      </c>
      <c r="S28" s="17">
        <f>('[1]%DD corr.'!S247/'[1]%DD corr.'!S$57)*('[1]NPSF corr.'!S245/'[1]NPSF corr.'!S$55)*((('[1]A corr.'!$L$2+'6X TPRs'!$B28)/('[1]A corr.'!$L$2+'[1]A corr.'!$L$3))^2)</f>
        <v>0.58739464474829972</v>
      </c>
    </row>
    <row r="29" spans="2:19" x14ac:dyDescent="0.25">
      <c r="B29" s="9">
        <v>25</v>
      </c>
      <c r="C29" s="14">
        <f>('[1]%DD corr.'!C257/'[1]%DD corr.'!C$57)*('[1]NPSF corr.'!C255/'[1]NPSF corr.'!C$55)*((('[1]A corr.'!$L$2+'6X TPRs'!$B29)/('[1]A corr.'!$L$2+'[1]A corr.'!$L$3))^2)</f>
        <v>0.39932993525222954</v>
      </c>
      <c r="D29" s="15">
        <f>('[1]%DD corr.'!D257/'[1]%DD corr.'!D$57)*('[1]NPSF corr.'!D255/'[1]NPSF corr.'!D$55)*((('[1]A corr.'!$L$2+'6X TPRs'!$B29)/('[1]A corr.'!$L$2+'[1]A corr.'!$L$3))^2)</f>
        <v>0.41184660138403023</v>
      </c>
      <c r="E29" s="16">
        <f>('[1]%DD corr.'!E257/'[1]%DD corr.'!E$57)*('[1]NPSF corr.'!E255/'[1]NPSF corr.'!E$55)*((('[1]A corr.'!$L$2+'6X TPRs'!$B29)/('[1]A corr.'!$L$2+'[1]A corr.'!$L$3))^2)</f>
        <v>0.4183521853836773</v>
      </c>
      <c r="F29" s="15">
        <f>('[1]%DD corr.'!F257/'[1]%DD corr.'!F$57)*('[1]NPSF corr.'!F255/'[1]NPSF corr.'!F$55)*((('[1]A corr.'!$L$2+'6X TPRs'!$B29)/('[1]A corr.'!$L$2+'[1]A corr.'!$L$3))^2)</f>
        <v>0.42466051088469309</v>
      </c>
      <c r="G29" s="16">
        <f>('[1]%DD corr.'!G257/'[1]%DD corr.'!G$57)*('[1]NPSF corr.'!G255/'[1]NPSF corr.'!G$55)*((('[1]A corr.'!$L$2+'6X TPRs'!$B29)/('[1]A corr.'!$L$2+'[1]A corr.'!$L$3))^2)</f>
        <v>0.43214929307501787</v>
      </c>
      <c r="H29" s="15">
        <f>('[1]%DD corr.'!H257/'[1]%DD corr.'!H$57)*('[1]NPSF corr.'!H255/'[1]NPSF corr.'!H$55)*((('[1]A corr.'!$L$2+'6X TPRs'!$B29)/('[1]A corr.'!$L$2+'[1]A corr.'!$L$3))^2)</f>
        <v>0.43990192204578887</v>
      </c>
      <c r="I29" s="16">
        <f>('[1]%DD corr.'!I257/'[1]%DD corr.'!I$57)*('[1]NPSF corr.'!I255/'[1]NPSF corr.'!I$55)*((('[1]A corr.'!$L$2+'6X TPRs'!$B29)/('[1]A corr.'!$L$2+'[1]A corr.'!$L$3))^2)</f>
        <v>0.44748860020151671</v>
      </c>
      <c r="J29" s="15">
        <f>('[1]%DD corr.'!J257/'[1]%DD corr.'!J$57)*('[1]NPSF corr.'!J255/'[1]NPSF corr.'!J$55)*((('[1]A corr.'!$L$2+'6X TPRs'!$B29)/('[1]A corr.'!$L$2+'[1]A corr.'!$L$3))^2)</f>
        <v>0.45500405899907759</v>
      </c>
      <c r="K29" s="16">
        <f>('[1]%DD corr.'!K257/'[1]%DD corr.'!K$57)*('[1]NPSF corr.'!K255/'[1]NPSF corr.'!K$55)*((('[1]A corr.'!$L$2+'6X TPRs'!$B29)/('[1]A corr.'!$L$2+'[1]A corr.'!$L$3))^2)</f>
        <v>0.46906158852049495</v>
      </c>
      <c r="L29" s="15">
        <f>('[1]%DD corr.'!L257/'[1]%DD corr.'!L$57)*('[1]NPSF corr.'!L255/'[1]NPSF corr.'!L$55)*((('[1]A corr.'!$L$2+'6X TPRs'!$B29)/('[1]A corr.'!$L$2+'[1]A corr.'!$L$3))^2)</f>
        <v>0.48074842196228773</v>
      </c>
      <c r="M29" s="16">
        <f>('[1]%DD corr.'!M257/'[1]%DD corr.'!M$57)*('[1]NPSF corr.'!M255/'[1]NPSF corr.'!M$55)*((('[1]A corr.'!$L$2+'6X TPRs'!$B29)/('[1]A corr.'!$L$2+'[1]A corr.'!$L$3))^2)</f>
        <v>0.49101184099068829</v>
      </c>
      <c r="N29" s="15">
        <f>('[1]%DD corr.'!N257/'[1]%DD corr.'!N$57)*('[1]NPSF corr.'!N255/'[1]NPSF corr.'!N$55)*((('[1]A corr.'!$L$2+'6X TPRs'!$B29)/('[1]A corr.'!$L$2+'[1]A corr.'!$L$3))^2)</f>
        <v>0.50168929268512419</v>
      </c>
      <c r="O29" s="16">
        <f>('[1]%DD corr.'!O257/'[1]%DD corr.'!O$57)*('[1]NPSF corr.'!O255/'[1]NPSF corr.'!O$55)*((('[1]A corr.'!$L$2+'6X TPRs'!$B29)/('[1]A corr.'!$L$2+'[1]A corr.'!$L$3))^2)</f>
        <v>0.51053224904387806</v>
      </c>
      <c r="P29" s="15">
        <f>('[1]%DD corr.'!P257/'[1]%DD corr.'!P$57)*('[1]NPSF corr.'!P255/'[1]NPSF corr.'!P$55)*((('[1]A corr.'!$L$2+'6X TPRs'!$B29)/('[1]A corr.'!$L$2+'[1]A corr.'!$L$3))^2)</f>
        <v>0.53170785718904945</v>
      </c>
      <c r="Q29" s="16">
        <f>('[1]%DD corr.'!Q257/'[1]%DD corr.'!Q$57)*('[1]NPSF corr.'!Q255/'[1]NPSF corr.'!Q$55)*((('[1]A corr.'!$L$2+'6X TPRs'!$B29)/('[1]A corr.'!$L$2+'[1]A corr.'!$L$3))^2)</f>
        <v>0.54650515811495948</v>
      </c>
      <c r="R29" s="15">
        <f>('[1]%DD corr.'!R257/'[1]%DD corr.'!R$57)*('[1]NPSF corr.'!R255/'[1]NPSF corr.'!R$55)*((('[1]A corr.'!$L$2+'6X TPRs'!$B29)/('[1]A corr.'!$L$2+'[1]A corr.'!$L$3))^2)</f>
        <v>0.5589611022513743</v>
      </c>
      <c r="S29" s="17">
        <f>('[1]%DD corr.'!S257/'[1]%DD corr.'!S$57)*('[1]NPSF corr.'!S255/'[1]NPSF corr.'!S$55)*((('[1]A corr.'!$L$2+'6X TPRs'!$B29)/('[1]A corr.'!$L$2+'[1]A corr.'!$L$3))^2)</f>
        <v>0.56902244761790899</v>
      </c>
    </row>
    <row r="30" spans="2:19" x14ac:dyDescent="0.25">
      <c r="B30" s="9">
        <v>26</v>
      </c>
      <c r="C30" s="14">
        <f>('[1]%DD corr.'!C267/'[1]%DD corr.'!C$57)*('[1]NPSF corr.'!C265/'[1]NPSF corr.'!C$55)*((('[1]A corr.'!$L$2+'6X TPRs'!$B30)/('[1]A corr.'!$L$2+'[1]A corr.'!$L$3))^2)</f>
        <v>0.38140214424437241</v>
      </c>
      <c r="D30" s="15">
        <f>('[1]%DD corr.'!D267/'[1]%DD corr.'!D$57)*('[1]NPSF corr.'!D265/'[1]NPSF corr.'!D$55)*((('[1]A corr.'!$L$2+'6X TPRs'!$B30)/('[1]A corr.'!$L$2+'[1]A corr.'!$L$3))^2)</f>
        <v>0.39439111708233393</v>
      </c>
      <c r="E30" s="16">
        <f>('[1]%DD corr.'!E267/'[1]%DD corr.'!E$57)*('[1]NPSF corr.'!E265/'[1]NPSF corr.'!E$55)*((('[1]A corr.'!$L$2+'6X TPRs'!$B30)/('[1]A corr.'!$L$2+'[1]A corr.'!$L$3))^2)</f>
        <v>0.40071122451959879</v>
      </c>
      <c r="F30" s="15">
        <f>('[1]%DD corr.'!F267/'[1]%DD corr.'!F$57)*('[1]NPSF corr.'!F265/'[1]NPSF corr.'!F$55)*((('[1]A corr.'!$L$2+'6X TPRs'!$B30)/('[1]A corr.'!$L$2+'[1]A corr.'!$L$3))^2)</f>
        <v>0.4065783653799307</v>
      </c>
      <c r="G30" s="16">
        <f>('[1]%DD corr.'!G267/'[1]%DD corr.'!G$57)*('[1]NPSF corr.'!G265/'[1]NPSF corr.'!G$55)*((('[1]A corr.'!$L$2+'6X TPRs'!$B30)/('[1]A corr.'!$L$2+'[1]A corr.'!$L$3))^2)</f>
        <v>0.41382673907552853</v>
      </c>
      <c r="H30" s="15">
        <f>('[1]%DD corr.'!H267/'[1]%DD corr.'!H$57)*('[1]NPSF corr.'!H265/'[1]NPSF corr.'!H$55)*((('[1]A corr.'!$L$2+'6X TPRs'!$B30)/('[1]A corr.'!$L$2+'[1]A corr.'!$L$3))^2)</f>
        <v>0.42145312610315938</v>
      </c>
      <c r="I30" s="16">
        <f>('[1]%DD corr.'!I267/'[1]%DD corr.'!I$57)*('[1]NPSF corr.'!I265/'[1]NPSF corr.'!I$55)*((('[1]A corr.'!$L$2+'6X TPRs'!$B30)/('[1]A corr.'!$L$2+'[1]A corr.'!$L$3))^2)</f>
        <v>0.4287704716944713</v>
      </c>
      <c r="J30" s="15">
        <f>('[1]%DD corr.'!J267/'[1]%DD corr.'!J$57)*('[1]NPSF corr.'!J265/'[1]NPSF corr.'!J$55)*((('[1]A corr.'!$L$2+'6X TPRs'!$B30)/('[1]A corr.'!$L$2+'[1]A corr.'!$L$3))^2)</f>
        <v>0.43586125402638515</v>
      </c>
      <c r="K30" s="16">
        <f>('[1]%DD corr.'!K267/'[1]%DD corr.'!K$57)*('[1]NPSF corr.'!K265/'[1]NPSF corr.'!K$55)*((('[1]A corr.'!$L$2+'6X TPRs'!$B30)/('[1]A corr.'!$L$2+'[1]A corr.'!$L$3))^2)</f>
        <v>0.44980422514200413</v>
      </c>
      <c r="L30" s="15">
        <f>('[1]%DD corr.'!L267/'[1]%DD corr.'!L$57)*('[1]NPSF corr.'!L265/'[1]NPSF corr.'!L$55)*((('[1]A corr.'!$L$2+'6X TPRs'!$B30)/('[1]A corr.'!$L$2+'[1]A corr.'!$L$3))^2)</f>
        <v>0.46144599854468737</v>
      </c>
      <c r="M30" s="16">
        <f>('[1]%DD corr.'!M267/'[1]%DD corr.'!M$57)*('[1]NPSF corr.'!M265/'[1]NPSF corr.'!M$55)*((('[1]A corr.'!$L$2+'6X TPRs'!$B30)/('[1]A corr.'!$L$2+'[1]A corr.'!$L$3))^2)</f>
        <v>0.47173655280439269</v>
      </c>
      <c r="N30" s="15">
        <f>('[1]%DD corr.'!N267/'[1]%DD corr.'!N$57)*('[1]NPSF corr.'!N265/'[1]NPSF corr.'!N$55)*((('[1]A corr.'!$L$2+'6X TPRs'!$B30)/('[1]A corr.'!$L$2+'[1]A corr.'!$L$3))^2)</f>
        <v>0.48251620780016491</v>
      </c>
      <c r="O30" s="16">
        <f>('[1]%DD corr.'!O267/'[1]%DD corr.'!O$57)*('[1]NPSF corr.'!O265/'[1]NPSF corr.'!O$55)*((('[1]A corr.'!$L$2+'6X TPRs'!$B30)/('[1]A corr.'!$L$2+'[1]A corr.'!$L$3))^2)</f>
        <v>0.49167076374628138</v>
      </c>
      <c r="P30" s="15">
        <f>('[1]%DD corr.'!P267/'[1]%DD corr.'!P$57)*('[1]NPSF corr.'!P265/'[1]NPSF corr.'!P$55)*((('[1]A corr.'!$L$2+'6X TPRs'!$B30)/('[1]A corr.'!$L$2+'[1]A corr.'!$L$3))^2)</f>
        <v>0.51269820442811986</v>
      </c>
      <c r="Q30" s="16">
        <f>('[1]%DD corr.'!Q267/'[1]%DD corr.'!Q$57)*('[1]NPSF corr.'!Q265/'[1]NPSF corr.'!Q$55)*((('[1]A corr.'!$L$2+'6X TPRs'!$B30)/('[1]A corr.'!$L$2+'[1]A corr.'!$L$3))^2)</f>
        <v>0.52755874726964314</v>
      </c>
      <c r="R30" s="15">
        <f>('[1]%DD corr.'!R267/'[1]%DD corr.'!R$57)*('[1]NPSF corr.'!R265/'[1]NPSF corr.'!R$55)*((('[1]A corr.'!$L$2+'6X TPRs'!$B30)/('[1]A corr.'!$L$2+'[1]A corr.'!$L$3))^2)</f>
        <v>0.53997035553819805</v>
      </c>
      <c r="S30" s="17">
        <f>('[1]%DD corr.'!S267/'[1]%DD corr.'!S$57)*('[1]NPSF corr.'!S265/'[1]NPSF corr.'!S$55)*((('[1]A corr.'!$L$2+'6X TPRs'!$B30)/('[1]A corr.'!$L$2+'[1]A corr.'!$L$3))^2)</f>
        <v>0.55021931263152979</v>
      </c>
    </row>
    <row r="31" spans="2:19" x14ac:dyDescent="0.25">
      <c r="B31" s="9">
        <v>27</v>
      </c>
      <c r="C31" s="14">
        <f>('[1]%DD corr.'!C277/'[1]%DD corr.'!C$57)*('[1]NPSF corr.'!C275/'[1]NPSF corr.'!C$55)*((('[1]A corr.'!$L$2+'6X TPRs'!$B31)/('[1]A corr.'!$L$2+'[1]A corr.'!$L$3))^2)</f>
        <v>0.36413027361054318</v>
      </c>
      <c r="D31" s="15">
        <f>('[1]%DD corr.'!D277/'[1]%DD corr.'!D$57)*('[1]NPSF corr.'!D275/'[1]NPSF corr.'!D$55)*((('[1]A corr.'!$L$2+'6X TPRs'!$B31)/('[1]A corr.'!$L$2+'[1]A corr.'!$L$3))^2)</f>
        <v>0.37681798996910265</v>
      </c>
      <c r="E31" s="16">
        <f>('[1]%DD corr.'!E277/'[1]%DD corr.'!E$57)*('[1]NPSF corr.'!E275/'[1]NPSF corr.'!E$55)*((('[1]A corr.'!$L$2+'6X TPRs'!$B31)/('[1]A corr.'!$L$2+'[1]A corr.'!$L$3))^2)</f>
        <v>0.38404141782185941</v>
      </c>
      <c r="F31" s="15">
        <f>('[1]%DD corr.'!F277/'[1]%DD corr.'!F$57)*('[1]NPSF corr.'!F275/'[1]NPSF corr.'!F$55)*((('[1]A corr.'!$L$2+'6X TPRs'!$B31)/('[1]A corr.'!$L$2+'[1]A corr.'!$L$3))^2)</f>
        <v>0.38955909509344955</v>
      </c>
      <c r="G31" s="16">
        <f>('[1]%DD corr.'!G277/'[1]%DD corr.'!G$57)*('[1]NPSF corr.'!G275/'[1]NPSF corr.'!G$55)*((('[1]A corr.'!$L$2+'6X TPRs'!$B31)/('[1]A corr.'!$L$2+'[1]A corr.'!$L$3))^2)</f>
        <v>0.39625254278229444</v>
      </c>
      <c r="H31" s="15">
        <f>('[1]%DD corr.'!H277/'[1]%DD corr.'!H$57)*('[1]NPSF corr.'!H275/'[1]NPSF corr.'!H$55)*((('[1]A corr.'!$L$2+'6X TPRs'!$B31)/('[1]A corr.'!$L$2+'[1]A corr.'!$L$3))^2)</f>
        <v>0.40361225095774989</v>
      </c>
      <c r="I31" s="16">
        <f>('[1]%DD corr.'!I277/'[1]%DD corr.'!I$57)*('[1]NPSF corr.'!I275/'[1]NPSF corr.'!I$55)*((('[1]A corr.'!$L$2+'6X TPRs'!$B31)/('[1]A corr.'!$L$2+'[1]A corr.'!$L$3))^2)</f>
        <v>0.41095628646312166</v>
      </c>
      <c r="J31" s="15">
        <f>('[1]%DD corr.'!J277/'[1]%DD corr.'!J$57)*('[1]NPSF corr.'!J275/'[1]NPSF corr.'!J$55)*((('[1]A corr.'!$L$2+'6X TPRs'!$B31)/('[1]A corr.'!$L$2+'[1]A corr.'!$L$3))^2)</f>
        <v>0.41801301357502685</v>
      </c>
      <c r="K31" s="16">
        <f>('[1]%DD corr.'!K277/'[1]%DD corr.'!K$57)*('[1]NPSF corr.'!K275/'[1]NPSF corr.'!K$55)*((('[1]A corr.'!$L$2+'6X TPRs'!$B31)/('[1]A corr.'!$L$2+'[1]A corr.'!$L$3))^2)</f>
        <v>0.43168227668611481</v>
      </c>
      <c r="L31" s="15">
        <f>('[1]%DD corr.'!L277/'[1]%DD corr.'!L$57)*('[1]NPSF corr.'!L275/'[1]NPSF corr.'!L$55)*((('[1]A corr.'!$L$2+'6X TPRs'!$B31)/('[1]A corr.'!$L$2+'[1]A corr.'!$L$3))^2)</f>
        <v>0.4432592269758866</v>
      </c>
      <c r="M31" s="16">
        <f>('[1]%DD corr.'!M277/'[1]%DD corr.'!M$57)*('[1]NPSF corr.'!M275/'[1]NPSF corr.'!M$55)*((('[1]A corr.'!$L$2+'6X TPRs'!$B31)/('[1]A corr.'!$L$2+'[1]A corr.'!$L$3))^2)</f>
        <v>0.45337206003107</v>
      </c>
      <c r="N31" s="15">
        <f>('[1]%DD corr.'!N277/'[1]%DD corr.'!N$57)*('[1]NPSF corr.'!N275/'[1]NPSF corr.'!N$55)*((('[1]A corr.'!$L$2+'6X TPRs'!$B31)/('[1]A corr.'!$L$2+'[1]A corr.'!$L$3))^2)</f>
        <v>0.46384545439539232</v>
      </c>
      <c r="O31" s="16">
        <f>('[1]%DD corr.'!O277/'[1]%DD corr.'!O$57)*('[1]NPSF corr.'!O275/'[1]NPSF corr.'!O$55)*((('[1]A corr.'!$L$2+'6X TPRs'!$B31)/('[1]A corr.'!$L$2+'[1]A corr.'!$L$3))^2)</f>
        <v>0.47303783270487798</v>
      </c>
      <c r="P31" s="15">
        <f>('[1]%DD corr.'!P277/'[1]%DD corr.'!P$57)*('[1]NPSF corr.'!P275/'[1]NPSF corr.'!P$55)*((('[1]A corr.'!$L$2+'6X TPRs'!$B31)/('[1]A corr.'!$L$2+'[1]A corr.'!$L$3))^2)</f>
        <v>0.49393559162442746</v>
      </c>
      <c r="Q31" s="16">
        <f>('[1]%DD corr.'!Q277/'[1]%DD corr.'!Q$57)*('[1]NPSF corr.'!Q275/'[1]NPSF corr.'!Q$55)*((('[1]A corr.'!$L$2+'6X TPRs'!$B31)/('[1]A corr.'!$L$2+'[1]A corr.'!$L$3))^2)</f>
        <v>0.5087373371677012</v>
      </c>
      <c r="R31" s="15">
        <f>('[1]%DD corr.'!R277/'[1]%DD corr.'!R$57)*('[1]NPSF corr.'!R275/'[1]NPSF corr.'!R$55)*((('[1]A corr.'!$L$2+'6X TPRs'!$B31)/('[1]A corr.'!$L$2+'[1]A corr.'!$L$3))^2)</f>
        <v>0.52147590378127961</v>
      </c>
      <c r="S31" s="17">
        <f>('[1]%DD corr.'!S277/'[1]%DD corr.'!S$57)*('[1]NPSF corr.'!S275/'[1]NPSF corr.'!S$55)*((('[1]A corr.'!$L$2+'6X TPRs'!$B31)/('[1]A corr.'!$L$2+'[1]A corr.'!$L$3))^2)</f>
        <v>0.53215521357417417</v>
      </c>
    </row>
    <row r="32" spans="2:19" x14ac:dyDescent="0.25">
      <c r="B32" s="9">
        <v>28</v>
      </c>
      <c r="C32" s="14">
        <f>('[1]%DD corr.'!C287/'[1]%DD corr.'!C$57)*('[1]NPSF corr.'!C285/'[1]NPSF corr.'!C$55)*((('[1]A corr.'!$L$2+'6X TPRs'!$B32)/('[1]A corr.'!$L$2+'[1]A corr.'!$L$3))^2)</f>
        <v>0.34852973195963011</v>
      </c>
      <c r="D32" s="15">
        <f>('[1]%DD corr.'!D287/'[1]%DD corr.'!D$57)*('[1]NPSF corr.'!D285/'[1]NPSF corr.'!D$55)*((('[1]A corr.'!$L$2+'6X TPRs'!$B32)/('[1]A corr.'!$L$2+'[1]A corr.'!$L$3))^2)</f>
        <v>0.36132964639371279</v>
      </c>
      <c r="E32" s="16">
        <f>('[1]%DD corr.'!E287/'[1]%DD corr.'!E$57)*('[1]NPSF corr.'!E285/'[1]NPSF corr.'!E$55)*((('[1]A corr.'!$L$2+'6X TPRs'!$B32)/('[1]A corr.'!$L$2+'[1]A corr.'!$L$3))^2)</f>
        <v>0.36710890270947505</v>
      </c>
      <c r="F32" s="15">
        <f>('[1]%DD corr.'!F287/'[1]%DD corr.'!F$57)*('[1]NPSF corr.'!F285/'[1]NPSF corr.'!F$55)*((('[1]A corr.'!$L$2+'6X TPRs'!$B32)/('[1]A corr.'!$L$2+'[1]A corr.'!$L$3))^2)</f>
        <v>0.37330447985812865</v>
      </c>
      <c r="G32" s="16">
        <f>('[1]%DD corr.'!G287/'[1]%DD corr.'!G$57)*('[1]NPSF corr.'!G285/'[1]NPSF corr.'!G$55)*((('[1]A corr.'!$L$2+'6X TPRs'!$B32)/('[1]A corr.'!$L$2+'[1]A corr.'!$L$3))^2)</f>
        <v>0.37997197722506965</v>
      </c>
      <c r="H32" s="15">
        <f>('[1]%DD corr.'!H287/'[1]%DD corr.'!H$57)*('[1]NPSF corr.'!H285/'[1]NPSF corr.'!H$55)*((('[1]A corr.'!$L$2+'6X TPRs'!$B32)/('[1]A corr.'!$L$2+'[1]A corr.'!$L$3))^2)</f>
        <v>0.38685704678566257</v>
      </c>
      <c r="I32" s="16">
        <f>('[1]%DD corr.'!I287/'[1]%DD corr.'!I$57)*('[1]NPSF corr.'!I285/'[1]NPSF corr.'!I$55)*((('[1]A corr.'!$L$2+'6X TPRs'!$B32)/('[1]A corr.'!$L$2+'[1]A corr.'!$L$3))^2)</f>
        <v>0.39383213915225224</v>
      </c>
      <c r="J32" s="15">
        <f>('[1]%DD corr.'!J287/'[1]%DD corr.'!J$57)*('[1]NPSF corr.'!J285/'[1]NPSF corr.'!J$55)*((('[1]A corr.'!$L$2+'6X TPRs'!$B32)/('[1]A corr.'!$L$2+'[1]A corr.'!$L$3))^2)</f>
        <v>0.40071760124416639</v>
      </c>
      <c r="K32" s="16">
        <f>('[1]%DD corr.'!K287/'[1]%DD corr.'!K$57)*('[1]NPSF corr.'!K285/'[1]NPSF corr.'!K$55)*((('[1]A corr.'!$L$2+'6X TPRs'!$B32)/('[1]A corr.'!$L$2+'[1]A corr.'!$L$3))^2)</f>
        <v>0.41426109845178166</v>
      </c>
      <c r="L32" s="15">
        <f>('[1]%DD corr.'!L287/'[1]%DD corr.'!L$57)*('[1]NPSF corr.'!L285/'[1]NPSF corr.'!L$55)*((('[1]A corr.'!$L$2+'6X TPRs'!$B32)/('[1]A corr.'!$L$2+'[1]A corr.'!$L$3))^2)</f>
        <v>0.42575489525787735</v>
      </c>
      <c r="M32" s="16">
        <f>('[1]%DD corr.'!M287/'[1]%DD corr.'!M$57)*('[1]NPSF corr.'!M285/'[1]NPSF corr.'!M$55)*((('[1]A corr.'!$L$2+'6X TPRs'!$B32)/('[1]A corr.'!$L$2+'[1]A corr.'!$L$3))^2)</f>
        <v>0.43576585508512533</v>
      </c>
      <c r="N32" s="15">
        <f>('[1]%DD corr.'!N287/'[1]%DD corr.'!N$57)*('[1]NPSF corr.'!N285/'[1]NPSF corr.'!N$55)*((('[1]A corr.'!$L$2+'6X TPRs'!$B32)/('[1]A corr.'!$L$2+'[1]A corr.'!$L$3))^2)</f>
        <v>0.4462205775914283</v>
      </c>
      <c r="O32" s="16">
        <f>('[1]%DD corr.'!O287/'[1]%DD corr.'!O$57)*('[1]NPSF corr.'!O285/'[1]NPSF corr.'!O$55)*((('[1]A corr.'!$L$2+'6X TPRs'!$B32)/('[1]A corr.'!$L$2+'[1]A corr.'!$L$3))^2)</f>
        <v>0.45547357371522068</v>
      </c>
      <c r="P32" s="15">
        <f>('[1]%DD corr.'!P287/'[1]%DD corr.'!P$57)*('[1]NPSF corr.'!P285/'[1]NPSF corr.'!P$55)*((('[1]A corr.'!$L$2+'6X TPRs'!$B32)/('[1]A corr.'!$L$2+'[1]A corr.'!$L$3))^2)</f>
        <v>0.47596375671797603</v>
      </c>
      <c r="Q32" s="16">
        <f>('[1]%DD corr.'!Q287/'[1]%DD corr.'!Q$57)*('[1]NPSF corr.'!Q285/'[1]NPSF corr.'!Q$55)*((('[1]A corr.'!$L$2+'6X TPRs'!$B32)/('[1]A corr.'!$L$2+'[1]A corr.'!$L$3))^2)</f>
        <v>0.49140675177012871</v>
      </c>
      <c r="R32" s="15">
        <f>('[1]%DD corr.'!R287/'[1]%DD corr.'!R$57)*('[1]NPSF corr.'!R285/'[1]NPSF corr.'!R$55)*((('[1]A corr.'!$L$2+'6X TPRs'!$B32)/('[1]A corr.'!$L$2+'[1]A corr.'!$L$3))^2)</f>
        <v>0.50431093716997</v>
      </c>
      <c r="S32" s="17">
        <f>('[1]%DD corr.'!S287/'[1]%DD corr.'!S$57)*('[1]NPSF corr.'!S285/'[1]NPSF corr.'!S$55)*((('[1]A corr.'!$L$2+'6X TPRs'!$B32)/('[1]A corr.'!$L$2+'[1]A corr.'!$L$3))^2)</f>
        <v>0.51498375121049333</v>
      </c>
    </row>
    <row r="33" spans="1:22" x14ac:dyDescent="0.25">
      <c r="B33" s="9">
        <v>29</v>
      </c>
      <c r="C33" s="14">
        <f>('[1]%DD corr.'!C297/'[1]%DD corr.'!C$57)*('[1]NPSF corr.'!C295/'[1]NPSF corr.'!C$55)*((('[1]A corr.'!$L$2+'6X TPRs'!$B33)/('[1]A corr.'!$L$2+'[1]A corr.'!$L$3))^2)</f>
        <v>0.33329730310065386</v>
      </c>
      <c r="D33" s="15">
        <f>('[1]%DD corr.'!D297/'[1]%DD corr.'!D$57)*('[1]NPSF corr.'!D295/'[1]NPSF corr.'!D$55)*((('[1]A corr.'!$L$2+'6X TPRs'!$B33)/('[1]A corr.'!$L$2+'[1]A corr.'!$L$3))^2)</f>
        <v>0.34619835187583009</v>
      </c>
      <c r="E33" s="16">
        <f>('[1]%DD corr.'!E297/'[1]%DD corr.'!E$57)*('[1]NPSF corr.'!E295/'[1]NPSF corr.'!E$55)*((('[1]A corr.'!$L$2+'6X TPRs'!$B33)/('[1]A corr.'!$L$2+'[1]A corr.'!$L$3))^2)</f>
        <v>0.35161580258448799</v>
      </c>
      <c r="F33" s="15">
        <f>('[1]%DD corr.'!F297/'[1]%DD corr.'!F$57)*('[1]NPSF corr.'!F295/'[1]NPSF corr.'!F$55)*((('[1]A corr.'!$L$2+'6X TPRs'!$B33)/('[1]A corr.'!$L$2+'[1]A corr.'!$L$3))^2)</f>
        <v>0.35731897043339267</v>
      </c>
      <c r="G33" s="16">
        <f>('[1]%DD corr.'!G297/'[1]%DD corr.'!G$57)*('[1]NPSF corr.'!G295/'[1]NPSF corr.'!G$55)*((('[1]A corr.'!$L$2+'6X TPRs'!$B33)/('[1]A corr.'!$L$2+'[1]A corr.'!$L$3))^2)</f>
        <v>0.36370402034565452</v>
      </c>
      <c r="H33" s="15">
        <f>('[1]%DD corr.'!H297/'[1]%DD corr.'!H$57)*('[1]NPSF corr.'!H295/'[1]NPSF corr.'!H$55)*((('[1]A corr.'!$L$2+'6X TPRs'!$B33)/('[1]A corr.'!$L$2+'[1]A corr.'!$L$3))^2)</f>
        <v>0.37049633847453722</v>
      </c>
      <c r="I33" s="16">
        <f>('[1]%DD corr.'!I297/'[1]%DD corr.'!I$57)*('[1]NPSF corr.'!I295/'[1]NPSF corr.'!I$55)*((('[1]A corr.'!$L$2+'6X TPRs'!$B33)/('[1]A corr.'!$L$2+'[1]A corr.'!$L$3))^2)</f>
        <v>0.37746661815542698</v>
      </c>
      <c r="J33" s="15">
        <f>('[1]%DD corr.'!J297/'[1]%DD corr.'!J$57)*('[1]NPSF corr.'!J295/'[1]NPSF corr.'!J$55)*((('[1]A corr.'!$L$2+'6X TPRs'!$B33)/('[1]A corr.'!$L$2+'[1]A corr.'!$L$3))^2)</f>
        <v>0.38379318577531923</v>
      </c>
      <c r="K33" s="16">
        <f>('[1]%DD corr.'!K297/'[1]%DD corr.'!K$57)*('[1]NPSF corr.'!K295/'[1]NPSF corr.'!K$55)*((('[1]A corr.'!$L$2+'6X TPRs'!$B33)/('[1]A corr.'!$L$2+'[1]A corr.'!$L$3))^2)</f>
        <v>0.39695453899024646</v>
      </c>
      <c r="L33" s="15">
        <f>('[1]%DD corr.'!L297/'[1]%DD corr.'!L$57)*('[1]NPSF corr.'!L295/'[1]NPSF corr.'!L$55)*((('[1]A corr.'!$L$2+'6X TPRs'!$B33)/('[1]A corr.'!$L$2+'[1]A corr.'!$L$3))^2)</f>
        <v>0.40869068208141313</v>
      </c>
      <c r="M33" s="16">
        <f>('[1]%DD corr.'!M297/'[1]%DD corr.'!M$57)*('[1]NPSF corr.'!M295/'[1]NPSF corr.'!M$55)*((('[1]A corr.'!$L$2+'6X TPRs'!$B33)/('[1]A corr.'!$L$2+'[1]A corr.'!$L$3))^2)</f>
        <v>0.4187879613683817</v>
      </c>
      <c r="N33" s="15">
        <f>('[1]%DD corr.'!N297/'[1]%DD corr.'!N$57)*('[1]NPSF corr.'!N295/'[1]NPSF corr.'!N$55)*((('[1]A corr.'!$L$2+'6X TPRs'!$B33)/('[1]A corr.'!$L$2+'[1]A corr.'!$L$3))^2)</f>
        <v>0.428941103136952</v>
      </c>
      <c r="O33" s="16">
        <f>('[1]%DD corr.'!O297/'[1]%DD corr.'!O$57)*('[1]NPSF corr.'!O295/'[1]NPSF corr.'!O$55)*((('[1]A corr.'!$L$2+'6X TPRs'!$B33)/('[1]A corr.'!$L$2+'[1]A corr.'!$L$3))^2)</f>
        <v>0.43815029669616318</v>
      </c>
      <c r="P33" s="15">
        <f>('[1]%DD corr.'!P297/'[1]%DD corr.'!P$57)*('[1]NPSF corr.'!P295/'[1]NPSF corr.'!P$55)*((('[1]A corr.'!$L$2+'6X TPRs'!$B33)/('[1]A corr.'!$L$2+'[1]A corr.'!$L$3))^2)</f>
        <v>0.45850135212789922</v>
      </c>
      <c r="Q33" s="16">
        <f>('[1]%DD corr.'!Q297/'[1]%DD corr.'!Q$57)*('[1]NPSF corr.'!Q295/'[1]NPSF corr.'!Q$55)*((('[1]A corr.'!$L$2+'6X TPRs'!$B33)/('[1]A corr.'!$L$2+'[1]A corr.'!$L$3))^2)</f>
        <v>0.47376022002790202</v>
      </c>
      <c r="R33" s="15">
        <f>('[1]%DD corr.'!R297/'[1]%DD corr.'!R$57)*('[1]NPSF corr.'!R295/'[1]NPSF corr.'!R$55)*((('[1]A corr.'!$L$2+'6X TPRs'!$B33)/('[1]A corr.'!$L$2+'[1]A corr.'!$L$3))^2)</f>
        <v>0.48655102589694693</v>
      </c>
      <c r="S33" s="17">
        <f>('[1]%DD corr.'!S297/'[1]%DD corr.'!S$57)*('[1]NPSF corr.'!S295/'[1]NPSF corr.'!S$55)*((('[1]A corr.'!$L$2+'6X TPRs'!$B33)/('[1]A corr.'!$L$2+'[1]A corr.'!$L$3))^2)</f>
        <v>0.49740241068973023</v>
      </c>
    </row>
    <row r="34" spans="1:22" x14ac:dyDescent="0.25">
      <c r="B34" s="9">
        <v>30</v>
      </c>
      <c r="C34" s="14">
        <f>('[1]%DD corr.'!C307/'[1]%DD corr.'!C$57)*('[1]NPSF corr.'!C305/'[1]NPSF corr.'!C$55)*((('[1]A corr.'!$L$2+'6X TPRs'!$B34)/('[1]A corr.'!$L$2+'[1]A corr.'!$L$3))^2)</f>
        <v>0.31897538816704135</v>
      </c>
      <c r="D34" s="15">
        <f>('[1]%DD corr.'!D307/'[1]%DD corr.'!D$57)*('[1]NPSF corr.'!D305/'[1]NPSF corr.'!D$55)*((('[1]A corr.'!$L$2+'6X TPRs'!$B34)/('[1]A corr.'!$L$2+'[1]A corr.'!$L$3))^2)</f>
        <v>0.33197483885608398</v>
      </c>
      <c r="E34" s="16">
        <f>('[1]%DD corr.'!E307/'[1]%DD corr.'!E$57)*('[1]NPSF corr.'!E305/'[1]NPSF corr.'!E$55)*((('[1]A corr.'!$L$2+'6X TPRs'!$B34)/('[1]A corr.'!$L$2+'[1]A corr.'!$L$3))^2)</f>
        <v>0.33701486050349633</v>
      </c>
      <c r="F34" s="15">
        <f>('[1]%DD corr.'!F307/'[1]%DD corr.'!F$57)*('[1]NPSF corr.'!F305/'[1]NPSF corr.'!F$55)*((('[1]A corr.'!$L$2+'6X TPRs'!$B34)/('[1]A corr.'!$L$2+'[1]A corr.'!$L$3))^2)</f>
        <v>0.34255299370523351</v>
      </c>
      <c r="G34" s="16">
        <f>('[1]%DD corr.'!G307/'[1]%DD corr.'!G$57)*('[1]NPSF corr.'!G305/'[1]NPSF corr.'!G$55)*((('[1]A corr.'!$L$2+'6X TPRs'!$B34)/('[1]A corr.'!$L$2+'[1]A corr.'!$L$3))^2)</f>
        <v>0.34860163868086957</v>
      </c>
      <c r="H34" s="15">
        <f>('[1]%DD corr.'!H307/'[1]%DD corr.'!H$57)*('[1]NPSF corr.'!H305/'[1]NPSF corr.'!H$55)*((('[1]A corr.'!$L$2+'6X TPRs'!$B34)/('[1]A corr.'!$L$2+'[1]A corr.'!$L$3))^2)</f>
        <v>0.3548632758505933</v>
      </c>
      <c r="I34" s="16">
        <f>('[1]%DD corr.'!I307/'[1]%DD corr.'!I$57)*('[1]NPSF corr.'!I305/'[1]NPSF corr.'!I$55)*((('[1]A corr.'!$L$2+'6X TPRs'!$B34)/('[1]A corr.'!$L$2+'[1]A corr.'!$L$3))^2)</f>
        <v>0.3614050579600408</v>
      </c>
      <c r="J34" s="15">
        <f>('[1]%DD corr.'!J307/'[1]%DD corr.'!J$57)*('[1]NPSF corr.'!J305/'[1]NPSF corr.'!J$55)*((('[1]A corr.'!$L$2+'6X TPRs'!$B34)/('[1]A corr.'!$L$2+'[1]A corr.'!$L$3))^2)</f>
        <v>0.36794664583097075</v>
      </c>
      <c r="K34" s="16">
        <f>('[1]%DD corr.'!K307/'[1]%DD corr.'!K$57)*('[1]NPSF corr.'!K305/'[1]NPSF corr.'!K$55)*((('[1]A corr.'!$L$2+'6X TPRs'!$B34)/('[1]A corr.'!$L$2+'[1]A corr.'!$L$3))^2)</f>
        <v>0.38090449444959346</v>
      </c>
      <c r="L34" s="15">
        <f>('[1]%DD corr.'!L307/'[1]%DD corr.'!L$57)*('[1]NPSF corr.'!L305/'[1]NPSF corr.'!L$55)*((('[1]A corr.'!$L$2+'6X TPRs'!$B34)/('[1]A corr.'!$L$2+'[1]A corr.'!$L$3))^2)</f>
        <v>0.39244806858906273</v>
      </c>
      <c r="M34" s="16">
        <f>('[1]%DD corr.'!M307/'[1]%DD corr.'!M$57)*('[1]NPSF corr.'!M305/'[1]NPSF corr.'!M$55)*((('[1]A corr.'!$L$2+'6X TPRs'!$B34)/('[1]A corr.'!$L$2+'[1]A corr.'!$L$3))^2)</f>
        <v>0.40227145038519263</v>
      </c>
      <c r="N34" s="15">
        <f>('[1]%DD corr.'!N307/'[1]%DD corr.'!N$57)*('[1]NPSF corr.'!N305/'[1]NPSF corr.'!N$55)*((('[1]A corr.'!$L$2+'6X TPRs'!$B34)/('[1]A corr.'!$L$2+'[1]A corr.'!$L$3))^2)</f>
        <v>0.41225168914522736</v>
      </c>
      <c r="O34" s="16">
        <f>('[1]%DD corr.'!O307/'[1]%DD corr.'!O$57)*('[1]NPSF corr.'!O305/'[1]NPSF corr.'!O$55)*((('[1]A corr.'!$L$2+'6X TPRs'!$B34)/('[1]A corr.'!$L$2+'[1]A corr.'!$L$3))^2)</f>
        <v>0.4214721940401378</v>
      </c>
      <c r="P34" s="15">
        <f>('[1]%DD corr.'!P307/'[1]%DD corr.'!P$57)*('[1]NPSF corr.'!P305/'[1]NPSF corr.'!P$55)*((('[1]A corr.'!$L$2+'6X TPRs'!$B34)/('[1]A corr.'!$L$2+'[1]A corr.'!$L$3))^2)</f>
        <v>0.44148810218015738</v>
      </c>
      <c r="Q34" s="16">
        <f>('[1]%DD corr.'!Q307/'[1]%DD corr.'!Q$57)*('[1]NPSF corr.'!Q305/'[1]NPSF corr.'!Q$55)*((('[1]A corr.'!$L$2+'6X TPRs'!$B34)/('[1]A corr.'!$L$2+'[1]A corr.'!$L$3))^2)</f>
        <v>0.45704636054164577</v>
      </c>
      <c r="R34" s="15">
        <f>('[1]%DD corr.'!R307/'[1]%DD corr.'!R$57)*('[1]NPSF corr.'!R305/'[1]NPSF corr.'!R$55)*((('[1]A corr.'!$L$2+'6X TPRs'!$B34)/('[1]A corr.'!$L$2+'[1]A corr.'!$L$3))^2)</f>
        <v>0.47000802045393764</v>
      </c>
      <c r="S34" s="17">
        <f>('[1]%DD corr.'!S307/'[1]%DD corr.'!S$57)*('[1]NPSF corr.'!S305/'[1]NPSF corr.'!S$55)*((('[1]A corr.'!$L$2+'6X TPRs'!$B34)/('[1]A corr.'!$L$2+'[1]A corr.'!$L$3))^2)</f>
        <v>0.48093613299926308</v>
      </c>
    </row>
    <row r="35" spans="1:22" x14ac:dyDescent="0.25">
      <c r="B35" s="9">
        <v>31</v>
      </c>
      <c r="C35" s="14">
        <f>('[1]%DD corr.'!C317/'[1]%DD corr.'!C$57)*('[1]NPSF corr.'!C315/'[1]NPSF corr.'!C$55)*((('[1]A corr.'!$L$2+'6X TPRs'!$B35)/('[1]A corr.'!$L$2+'[1]A corr.'!$L$3))^2)</f>
        <v>0.30460590778759788</v>
      </c>
      <c r="D35" s="15">
        <f>('[1]%DD corr.'!D317/'[1]%DD corr.'!D$57)*('[1]NPSF corr.'!D315/'[1]NPSF corr.'!D$55)*((('[1]A corr.'!$L$2+'6X TPRs'!$B35)/('[1]A corr.'!$L$2+'[1]A corr.'!$L$3))^2)</f>
        <v>0.31800525204143326</v>
      </c>
      <c r="E35" s="16">
        <f>('[1]%DD corr.'!E317/'[1]%DD corr.'!E$57)*('[1]NPSF corr.'!E315/'[1]NPSF corr.'!E$55)*((('[1]A corr.'!$L$2+'6X TPRs'!$B35)/('[1]A corr.'!$L$2+'[1]A corr.'!$L$3))^2)</f>
        <v>0.32308053180816465</v>
      </c>
      <c r="F35" s="15">
        <f>('[1]%DD corr.'!F317/'[1]%DD corr.'!F$57)*('[1]NPSF corr.'!F315/'[1]NPSF corr.'!F$55)*((('[1]A corr.'!$L$2+'6X TPRs'!$B35)/('[1]A corr.'!$L$2+'[1]A corr.'!$L$3))^2)</f>
        <v>0.32830982515354923</v>
      </c>
      <c r="G35" s="16">
        <f>('[1]%DD corr.'!G317/'[1]%DD corr.'!G$57)*('[1]NPSF corr.'!G315/'[1]NPSF corr.'!G$55)*((('[1]A corr.'!$L$2+'6X TPRs'!$B35)/('[1]A corr.'!$L$2+'[1]A corr.'!$L$3))^2)</f>
        <v>0.33421419404345126</v>
      </c>
      <c r="H35" s="15">
        <f>('[1]%DD corr.'!H317/'[1]%DD corr.'!H$57)*('[1]NPSF corr.'!H315/'[1]NPSF corr.'!H$55)*((('[1]A corr.'!$L$2+'6X TPRs'!$B35)/('[1]A corr.'!$L$2+'[1]A corr.'!$L$3))^2)</f>
        <v>0.3405288662879824</v>
      </c>
      <c r="I35" s="16">
        <f>('[1]%DD corr.'!I317/'[1]%DD corr.'!I$57)*('[1]NPSF corr.'!I315/'[1]NPSF corr.'!I$55)*((('[1]A corr.'!$L$2+'6X TPRs'!$B35)/('[1]A corr.'!$L$2+'[1]A corr.'!$L$3))^2)</f>
        <v>0.34676724518041929</v>
      </c>
      <c r="J35" s="15">
        <f>('[1]%DD corr.'!J317/'[1]%DD corr.'!J$57)*('[1]NPSF corr.'!J315/'[1]NPSF corr.'!J$55)*((('[1]A corr.'!$L$2+'6X TPRs'!$B35)/('[1]A corr.'!$L$2+'[1]A corr.'!$L$3))^2)</f>
        <v>0.35310984885039437</v>
      </c>
      <c r="K35" s="16">
        <f>('[1]%DD corr.'!K317/'[1]%DD corr.'!K$57)*('[1]NPSF corr.'!K315/'[1]NPSF corr.'!K$55)*((('[1]A corr.'!$L$2+'6X TPRs'!$B35)/('[1]A corr.'!$L$2+'[1]A corr.'!$L$3))^2)</f>
        <v>0.36554090772042636</v>
      </c>
      <c r="L35" s="15">
        <f>('[1]%DD corr.'!L317/'[1]%DD corr.'!L$57)*('[1]NPSF corr.'!L315/'[1]NPSF corr.'!L$55)*((('[1]A corr.'!$L$2+'6X TPRs'!$B35)/('[1]A corr.'!$L$2+'[1]A corr.'!$L$3))^2)</f>
        <v>0.3770685176630183</v>
      </c>
      <c r="M35" s="16">
        <f>('[1]%DD corr.'!M317/'[1]%DD corr.'!M$57)*('[1]NPSF corr.'!M315/'[1]NPSF corr.'!M$55)*((('[1]A corr.'!$L$2+'6X TPRs'!$B35)/('[1]A corr.'!$L$2+'[1]A corr.'!$L$3))^2)</f>
        <v>0.38690576815624828</v>
      </c>
      <c r="N35" s="15">
        <f>('[1]%DD corr.'!N317/'[1]%DD corr.'!N$57)*('[1]NPSF corr.'!N315/'[1]NPSF corr.'!N$55)*((('[1]A corr.'!$L$2+'6X TPRs'!$B35)/('[1]A corr.'!$L$2+'[1]A corr.'!$L$3))^2)</f>
        <v>0.39657298387745421</v>
      </c>
      <c r="O35" s="16">
        <f>('[1]%DD corr.'!O317/'[1]%DD corr.'!O$57)*('[1]NPSF corr.'!O315/'[1]NPSF corr.'!O$55)*((('[1]A corr.'!$L$2+'6X TPRs'!$B35)/('[1]A corr.'!$L$2+'[1]A corr.'!$L$3))^2)</f>
        <v>0.40577814056484685</v>
      </c>
      <c r="P35" s="15">
        <f>('[1]%DD corr.'!P317/'[1]%DD corr.'!P$57)*('[1]NPSF corr.'!P315/'[1]NPSF corr.'!P$55)*((('[1]A corr.'!$L$2+'6X TPRs'!$B35)/('[1]A corr.'!$L$2+'[1]A corr.'!$L$3))^2)</f>
        <v>0.42527806101110927</v>
      </c>
      <c r="Q35" s="16">
        <f>('[1]%DD corr.'!Q317/'[1]%DD corr.'!Q$57)*('[1]NPSF corr.'!Q315/'[1]NPSF corr.'!Q$55)*((('[1]A corr.'!$L$2+'6X TPRs'!$B35)/('[1]A corr.'!$L$2+'[1]A corr.'!$L$3))^2)</f>
        <v>0.44087363743934671</v>
      </c>
      <c r="R35" s="15">
        <f>('[1]%DD corr.'!R317/'[1]%DD corr.'!R$57)*('[1]NPSF corr.'!R315/'[1]NPSF corr.'!R$55)*((('[1]A corr.'!$L$2+'6X TPRs'!$B35)/('[1]A corr.'!$L$2+'[1]A corr.'!$L$3))^2)</f>
        <v>0.45400293109195289</v>
      </c>
      <c r="S35" s="17">
        <f>('[1]%DD corr.'!S317/'[1]%DD corr.'!S$57)*('[1]NPSF corr.'!S315/'[1]NPSF corr.'!S$55)*((('[1]A corr.'!$L$2+'6X TPRs'!$B35)/('[1]A corr.'!$L$2+'[1]A corr.'!$L$3))^2)</f>
        <v>0.46520232178578991</v>
      </c>
    </row>
    <row r="36" spans="1:22" x14ac:dyDescent="0.25">
      <c r="B36" s="9">
        <v>32</v>
      </c>
      <c r="C36" s="14">
        <f>('[1]%DD corr.'!C327/'[1]%DD corr.'!C$57)*('[1]NPSF corr.'!C325/'[1]NPSF corr.'!C$55)*((('[1]A corr.'!$L$2+'6X TPRs'!$B36)/('[1]A corr.'!$L$2+'[1]A corr.'!$L$3))^2)</f>
        <v>0.29157404581709517</v>
      </c>
      <c r="D36" s="15">
        <f>('[1]%DD corr.'!D327/'[1]%DD corr.'!D$57)*('[1]NPSF corr.'!D325/'[1]NPSF corr.'!D$55)*((('[1]A corr.'!$L$2+'6X TPRs'!$B36)/('[1]A corr.'!$L$2+'[1]A corr.'!$L$3))^2)</f>
        <v>0.30425101041615932</v>
      </c>
      <c r="E36" s="16">
        <f>('[1]%DD corr.'!E327/'[1]%DD corr.'!E$57)*('[1]NPSF corr.'!E325/'[1]NPSF corr.'!E$55)*((('[1]A corr.'!$L$2+'6X TPRs'!$B36)/('[1]A corr.'!$L$2+'[1]A corr.'!$L$3))^2)</f>
        <v>0.30907442779463462</v>
      </c>
      <c r="F36" s="15">
        <f>('[1]%DD corr.'!F327/'[1]%DD corr.'!F$57)*('[1]NPSF corr.'!F325/'[1]NPSF corr.'!F$55)*((('[1]A corr.'!$L$2+'6X TPRs'!$B36)/('[1]A corr.'!$L$2+'[1]A corr.'!$L$3))^2)</f>
        <v>0.31404541440471134</v>
      </c>
      <c r="G36" s="16">
        <f>('[1]%DD corr.'!G327/'[1]%DD corr.'!G$57)*('[1]NPSF corr.'!G325/'[1]NPSF corr.'!G$55)*((('[1]A corr.'!$L$2+'6X TPRs'!$B36)/('[1]A corr.'!$L$2+'[1]A corr.'!$L$3))^2)</f>
        <v>0.319718264522866</v>
      </c>
      <c r="H36" s="15">
        <f>('[1]%DD corr.'!H327/'[1]%DD corr.'!H$57)*('[1]NPSF corr.'!H325/'[1]NPSF corr.'!H$55)*((('[1]A corr.'!$L$2+'6X TPRs'!$B36)/('[1]A corr.'!$L$2+'[1]A corr.'!$L$3))^2)</f>
        <v>0.32588935488540532</v>
      </c>
      <c r="I36" s="16">
        <f>('[1]%DD corr.'!I327/'[1]%DD corr.'!I$57)*('[1]NPSF corr.'!I325/'[1]NPSF corr.'!I$55)*((('[1]A corr.'!$L$2+'6X TPRs'!$B36)/('[1]A corr.'!$L$2+'[1]A corr.'!$L$3))^2)</f>
        <v>0.33195877699057552</v>
      </c>
      <c r="J36" s="15">
        <f>('[1]%DD corr.'!J327/'[1]%DD corr.'!J$57)*('[1]NPSF corr.'!J325/'[1]NPSF corr.'!J$55)*((('[1]A corr.'!$L$2+'6X TPRs'!$B36)/('[1]A corr.'!$L$2+'[1]A corr.'!$L$3))^2)</f>
        <v>0.33822056702789427</v>
      </c>
      <c r="K36" s="16">
        <f>('[1]%DD corr.'!K327/'[1]%DD corr.'!K$57)*('[1]NPSF corr.'!K325/'[1]NPSF corr.'!K$55)*((('[1]A corr.'!$L$2+'6X TPRs'!$B36)/('[1]A corr.'!$L$2+'[1]A corr.'!$L$3))^2)</f>
        <v>0.35035281964749693</v>
      </c>
      <c r="L36" s="15">
        <f>('[1]%DD corr.'!L327/'[1]%DD corr.'!L$57)*('[1]NPSF corr.'!L325/'[1]NPSF corr.'!L$55)*((('[1]A corr.'!$L$2+'6X TPRs'!$B36)/('[1]A corr.'!$L$2+'[1]A corr.'!$L$3))^2)</f>
        <v>0.36160208280259981</v>
      </c>
      <c r="M36" s="16">
        <f>('[1]%DD corr.'!M327/'[1]%DD corr.'!M$57)*('[1]NPSF corr.'!M325/'[1]NPSF corr.'!M$55)*((('[1]A corr.'!$L$2+'6X TPRs'!$B36)/('[1]A corr.'!$L$2+'[1]A corr.'!$L$3))^2)</f>
        <v>0.37135765900052353</v>
      </c>
      <c r="N36" s="15">
        <f>('[1]%DD corr.'!N327/'[1]%DD corr.'!N$57)*('[1]NPSF corr.'!N325/'[1]NPSF corr.'!N$55)*((('[1]A corr.'!$L$2+'6X TPRs'!$B36)/('[1]A corr.'!$L$2+'[1]A corr.'!$L$3))^2)</f>
        <v>0.38070709887798454</v>
      </c>
      <c r="O36" s="16">
        <f>('[1]%DD corr.'!O327/'[1]%DD corr.'!O$57)*('[1]NPSF corr.'!O325/'[1]NPSF corr.'!O$55)*((('[1]A corr.'!$L$2+'6X TPRs'!$B36)/('[1]A corr.'!$L$2+'[1]A corr.'!$L$3))^2)</f>
        <v>0.38972350062262495</v>
      </c>
      <c r="P36" s="15">
        <f>('[1]%DD corr.'!P327/'[1]%DD corr.'!P$57)*('[1]NPSF corr.'!P325/'[1]NPSF corr.'!P$55)*((('[1]A corr.'!$L$2+'6X TPRs'!$B36)/('[1]A corr.'!$L$2+'[1]A corr.'!$L$3))^2)</f>
        <v>0.4090316936343385</v>
      </c>
      <c r="Q36" s="16">
        <f>('[1]%DD corr.'!Q327/'[1]%DD corr.'!Q$57)*('[1]NPSF corr.'!Q325/'[1]NPSF corr.'!Q$55)*((('[1]A corr.'!$L$2+'6X TPRs'!$B36)/('[1]A corr.'!$L$2+'[1]A corr.'!$L$3))^2)</f>
        <v>0.42472420117436399</v>
      </c>
      <c r="R36" s="15">
        <f>('[1]%DD corr.'!R327/'[1]%DD corr.'!R$57)*('[1]NPSF corr.'!R325/'[1]NPSF corr.'!R$55)*((('[1]A corr.'!$L$2+'6X TPRs'!$B36)/('[1]A corr.'!$L$2+'[1]A corr.'!$L$3))^2)</f>
        <v>0.43785705294985383</v>
      </c>
      <c r="S36" s="17">
        <f>('[1]%DD corr.'!S327/'[1]%DD corr.'!S$57)*('[1]NPSF corr.'!S325/'[1]NPSF corr.'!S$55)*((('[1]A corr.'!$L$2+'6X TPRs'!$B36)/('[1]A corr.'!$L$2+'[1]A corr.'!$L$3))^2)</f>
        <v>0.44886721392010892</v>
      </c>
    </row>
    <row r="37" spans="1:22" x14ac:dyDescent="0.25">
      <c r="B37" s="9">
        <v>33.000000000000099</v>
      </c>
      <c r="C37" s="14">
        <f>('[1]%DD corr.'!C337/'[1]%DD corr.'!C$57)*('[1]NPSF corr.'!C335/'[1]NPSF corr.'!C$55)*((('[1]A corr.'!$L$2+'6X TPRs'!$B37)/('[1]A corr.'!$L$2+'[1]A corr.'!$L$3))^2)</f>
        <v>0.27860357512022005</v>
      </c>
      <c r="D37" s="15">
        <f>('[1]%DD corr.'!D337/'[1]%DD corr.'!D$57)*('[1]NPSF corr.'!D335/'[1]NPSF corr.'!D$55)*((('[1]A corr.'!$L$2+'6X TPRs'!$B37)/('[1]A corr.'!$L$2+'[1]A corr.'!$L$3))^2)</f>
        <v>0.29192429547587595</v>
      </c>
      <c r="E37" s="16">
        <f>('[1]%DD corr.'!E337/'[1]%DD corr.'!E$57)*('[1]NPSF corr.'!E335/'[1]NPSF corr.'!E$55)*((('[1]A corr.'!$L$2+'6X TPRs'!$B37)/('[1]A corr.'!$L$2+'[1]A corr.'!$L$3))^2)</f>
        <v>0.29690650118537665</v>
      </c>
      <c r="F37" s="15">
        <f>('[1]%DD corr.'!F337/'[1]%DD corr.'!F$57)*('[1]NPSF corr.'!F335/'[1]NPSF corr.'!F$55)*((('[1]A corr.'!$L$2+'6X TPRs'!$B37)/('[1]A corr.'!$L$2+'[1]A corr.'!$L$3))^2)</f>
        <v>0.30183139509591933</v>
      </c>
      <c r="G37" s="16">
        <f>('[1]%DD corr.'!G337/'[1]%DD corr.'!G$57)*('[1]NPSF corr.'!G335/'[1]NPSF corr.'!G$55)*((('[1]A corr.'!$L$2+'6X TPRs'!$B37)/('[1]A corr.'!$L$2+'[1]A corr.'!$L$3))^2)</f>
        <v>0.30728447868069286</v>
      </c>
      <c r="H37" s="15">
        <f>('[1]%DD corr.'!H337/'[1]%DD corr.'!H$57)*('[1]NPSF corr.'!H335/'[1]NPSF corr.'!H$55)*((('[1]A corr.'!$L$2+'6X TPRs'!$B37)/('[1]A corr.'!$L$2+'[1]A corr.'!$L$3))^2)</f>
        <v>0.31316373531238884</v>
      </c>
      <c r="I37" s="16">
        <f>('[1]%DD corr.'!I337/'[1]%DD corr.'!I$57)*('[1]NPSF corr.'!I335/'[1]NPSF corr.'!I$55)*((('[1]A corr.'!$L$2+'6X TPRs'!$B37)/('[1]A corr.'!$L$2+'[1]A corr.'!$L$3))^2)</f>
        <v>0.31919292591832771</v>
      </c>
      <c r="J37" s="15">
        <f>('[1]%DD corr.'!J337/'[1]%DD corr.'!J$57)*('[1]NPSF corr.'!J335/'[1]NPSF corr.'!J$55)*((('[1]A corr.'!$L$2+'6X TPRs'!$B37)/('[1]A corr.'!$L$2+'[1]A corr.'!$L$3))^2)</f>
        <v>0.32491073205348536</v>
      </c>
      <c r="K37" s="16">
        <f>('[1]%DD corr.'!K337/'[1]%DD corr.'!K$57)*('[1]NPSF corr.'!K335/'[1]NPSF corr.'!K$55)*((('[1]A corr.'!$L$2+'6X TPRs'!$B37)/('[1]A corr.'!$L$2+'[1]A corr.'!$L$3))^2)</f>
        <v>0.33652708954091243</v>
      </c>
      <c r="L37" s="15">
        <f>('[1]%DD corr.'!L337/'[1]%DD corr.'!L$57)*('[1]NPSF corr.'!L335/'[1]NPSF corr.'!L$55)*((('[1]A corr.'!$L$2+'6X TPRs'!$B37)/('[1]A corr.'!$L$2+'[1]A corr.'!$L$3))^2)</f>
        <v>0.3478248079152616</v>
      </c>
      <c r="M37" s="16">
        <f>('[1]%DD corr.'!M337/'[1]%DD corr.'!M$57)*('[1]NPSF corr.'!M335/'[1]NPSF corr.'!M$55)*((('[1]A corr.'!$L$2+'6X TPRs'!$B37)/('[1]A corr.'!$L$2+'[1]A corr.'!$L$3))^2)</f>
        <v>0.35710910760702075</v>
      </c>
      <c r="N37" s="15">
        <f>('[1]%DD corr.'!N337/'[1]%DD corr.'!N$57)*('[1]NPSF corr.'!N335/'[1]NPSF corr.'!N$55)*((('[1]A corr.'!$L$2+'6X TPRs'!$B37)/('[1]A corr.'!$L$2+'[1]A corr.'!$L$3))^2)</f>
        <v>0.36654553063404682</v>
      </c>
      <c r="O37" s="16">
        <f>('[1]%DD corr.'!O337/'[1]%DD corr.'!O$57)*('[1]NPSF corr.'!O335/'[1]NPSF corr.'!O$55)*((('[1]A corr.'!$L$2+'6X TPRs'!$B37)/('[1]A corr.'!$L$2+'[1]A corr.'!$L$3))^2)</f>
        <v>0.37578088114817682</v>
      </c>
      <c r="P37" s="15">
        <f>('[1]%DD corr.'!P337/'[1]%DD corr.'!P$57)*('[1]NPSF corr.'!P335/'[1]NPSF corr.'!P$55)*((('[1]A corr.'!$L$2+'6X TPRs'!$B37)/('[1]A corr.'!$L$2+'[1]A corr.'!$L$3))^2)</f>
        <v>0.39447710698495286</v>
      </c>
      <c r="Q37" s="16">
        <f>('[1]%DD corr.'!Q337/'[1]%DD corr.'!Q$57)*('[1]NPSF corr.'!Q335/'[1]NPSF corr.'!Q$55)*((('[1]A corr.'!$L$2+'6X TPRs'!$B37)/('[1]A corr.'!$L$2+'[1]A corr.'!$L$3))^2)</f>
        <v>0.40995250276259682</v>
      </c>
      <c r="R37" s="15">
        <f>('[1]%DD corr.'!R337/'[1]%DD corr.'!R$57)*('[1]NPSF corr.'!R335/'[1]NPSF corr.'!R$55)*((('[1]A corr.'!$L$2+'6X TPRs'!$B37)/('[1]A corr.'!$L$2+'[1]A corr.'!$L$3))^2)</f>
        <v>0.4229588859559234</v>
      </c>
      <c r="S37" s="17">
        <f>('[1]%DD corr.'!S337/'[1]%DD corr.'!S$57)*('[1]NPSF corr.'!S335/'[1]NPSF corr.'!S$55)*((('[1]A corr.'!$L$2+'6X TPRs'!$B37)/('[1]A corr.'!$L$2+'[1]A corr.'!$L$3))^2)</f>
        <v>0.43428141595686748</v>
      </c>
    </row>
    <row r="38" spans="1:22" x14ac:dyDescent="0.25">
      <c r="B38" s="9">
        <v>34.000000000000099</v>
      </c>
      <c r="C38" s="14">
        <f>('[1]%DD corr.'!C347/'[1]%DD corr.'!C$57)*('[1]NPSF corr.'!C345/'[1]NPSF corr.'!C$55)*((('[1]A corr.'!$L$2+'6X TPRs'!$B38)/('[1]A corr.'!$L$2+'[1]A corr.'!$L$3))^2)</f>
        <v>0.26674379402886128</v>
      </c>
      <c r="D38" s="15">
        <f>('[1]%DD corr.'!D347/'[1]%DD corr.'!D$57)*('[1]NPSF corr.'!D345/'[1]NPSF corr.'!D$55)*((('[1]A corr.'!$L$2+'6X TPRs'!$B38)/('[1]A corr.'!$L$2+'[1]A corr.'!$L$3))^2)</f>
        <v>0.27879061067285638</v>
      </c>
      <c r="E38" s="16">
        <f>('[1]%DD corr.'!E347/'[1]%DD corr.'!E$57)*('[1]NPSF corr.'!E345/'[1]NPSF corr.'!E$55)*((('[1]A corr.'!$L$2+'6X TPRs'!$B38)/('[1]A corr.'!$L$2+'[1]A corr.'!$L$3))^2)</f>
        <v>0.28408061990960221</v>
      </c>
      <c r="F38" s="15">
        <f>('[1]%DD corr.'!F347/'[1]%DD corr.'!F$57)*('[1]NPSF corr.'!F345/'[1]NPSF corr.'!F$55)*((('[1]A corr.'!$L$2+'6X TPRs'!$B38)/('[1]A corr.'!$L$2+'[1]A corr.'!$L$3))^2)</f>
        <v>0.28889397077025608</v>
      </c>
      <c r="G38" s="16">
        <f>('[1]%DD corr.'!G347/'[1]%DD corr.'!G$57)*('[1]NPSF corr.'!G345/'[1]NPSF corr.'!G$55)*((('[1]A corr.'!$L$2+'6X TPRs'!$B38)/('[1]A corr.'!$L$2+'[1]A corr.'!$L$3))^2)</f>
        <v>0.29408452282388131</v>
      </c>
      <c r="H38" s="15">
        <f>('[1]%DD corr.'!H347/'[1]%DD corr.'!H$57)*('[1]NPSF corr.'!H345/'[1]NPSF corr.'!H$55)*((('[1]A corr.'!$L$2+'6X TPRs'!$B38)/('[1]A corr.'!$L$2+'[1]A corr.'!$L$3))^2)</f>
        <v>0.29978385392171836</v>
      </c>
      <c r="I38" s="16">
        <f>('[1]%DD corr.'!I347/'[1]%DD corr.'!I$57)*('[1]NPSF corr.'!I345/'[1]NPSF corr.'!I$55)*((('[1]A corr.'!$L$2+'6X TPRs'!$B38)/('[1]A corr.'!$L$2+'[1]A corr.'!$L$3))^2)</f>
        <v>0.30536584345370088</v>
      </c>
      <c r="J38" s="15">
        <f>('[1]%DD corr.'!J347/'[1]%DD corr.'!J$57)*('[1]NPSF corr.'!J345/'[1]NPSF corr.'!J$55)*((('[1]A corr.'!$L$2+'6X TPRs'!$B38)/('[1]A corr.'!$L$2+'[1]A corr.'!$L$3))^2)</f>
        <v>0.31117113564511495</v>
      </c>
      <c r="K38" s="16">
        <f>('[1]%DD corr.'!K347/'[1]%DD corr.'!K$57)*('[1]NPSF corr.'!K345/'[1]NPSF corr.'!K$55)*((('[1]A corr.'!$L$2+'6X TPRs'!$B38)/('[1]A corr.'!$L$2+'[1]A corr.'!$L$3))^2)</f>
        <v>0.32258980679260518</v>
      </c>
      <c r="L38" s="15">
        <f>('[1]%DD corr.'!L347/'[1]%DD corr.'!L$57)*('[1]NPSF corr.'!L345/'[1]NPSF corr.'!L$55)*((('[1]A corr.'!$L$2+'6X TPRs'!$B38)/('[1]A corr.'!$L$2+'[1]A corr.'!$L$3))^2)</f>
        <v>0.33358028103736337</v>
      </c>
      <c r="M38" s="16">
        <f>('[1]%DD corr.'!M347/'[1]%DD corr.'!M$57)*('[1]NPSF corr.'!M345/'[1]NPSF corr.'!M$55)*((('[1]A corr.'!$L$2+'6X TPRs'!$B38)/('[1]A corr.'!$L$2+'[1]A corr.'!$L$3))^2)</f>
        <v>0.34285366850769905</v>
      </c>
      <c r="N38" s="15">
        <f>('[1]%DD corr.'!N347/'[1]%DD corr.'!N$57)*('[1]NPSF corr.'!N345/'[1]NPSF corr.'!N$55)*((('[1]A corr.'!$L$2+'6X TPRs'!$B38)/('[1]A corr.'!$L$2+'[1]A corr.'!$L$3))^2)</f>
        <v>0.35187140364864988</v>
      </c>
      <c r="O38" s="16">
        <f>('[1]%DD corr.'!O347/'[1]%DD corr.'!O$57)*('[1]NPSF corr.'!O345/'[1]NPSF corr.'!O$55)*((('[1]A corr.'!$L$2+'6X TPRs'!$B38)/('[1]A corr.'!$L$2+'[1]A corr.'!$L$3))^2)</f>
        <v>0.36088268871577051</v>
      </c>
      <c r="P38" s="15">
        <f>('[1]%DD corr.'!P347/'[1]%DD corr.'!P$57)*('[1]NPSF corr.'!P345/'[1]NPSF corr.'!P$55)*((('[1]A corr.'!$L$2+'6X TPRs'!$B38)/('[1]A corr.'!$L$2+'[1]A corr.'!$L$3))^2)</f>
        <v>0.37927158858962395</v>
      </c>
      <c r="Q38" s="16">
        <f>('[1]%DD corr.'!Q347/'[1]%DD corr.'!Q$57)*('[1]NPSF corr.'!Q345/'[1]NPSF corr.'!Q$55)*((('[1]A corr.'!$L$2+'6X TPRs'!$B38)/('[1]A corr.'!$L$2+'[1]A corr.'!$L$3))^2)</f>
        <v>0.39465463098931358</v>
      </c>
      <c r="R38" s="15">
        <f>('[1]%DD corr.'!R347/'[1]%DD corr.'!R$57)*('[1]NPSF corr.'!R345/'[1]NPSF corr.'!R$55)*((('[1]A corr.'!$L$2+'6X TPRs'!$B38)/('[1]A corr.'!$L$2+'[1]A corr.'!$L$3))^2)</f>
        <v>0.40772206525029187</v>
      </c>
      <c r="S38" s="17">
        <f>('[1]%DD corr.'!S347/'[1]%DD corr.'!S$57)*('[1]NPSF corr.'!S345/'[1]NPSF corr.'!S$55)*((('[1]A corr.'!$L$2+'6X TPRs'!$B38)/('[1]A corr.'!$L$2+'[1]A corr.'!$L$3))^2)</f>
        <v>0.41881392155843111</v>
      </c>
    </row>
    <row r="39" spans="1:22" x14ac:dyDescent="0.25">
      <c r="B39" s="18">
        <v>35.000000000000099</v>
      </c>
      <c r="C39" s="19">
        <f>('[1]%DD corr.'!C357/'[1]%DD corr.'!C$57)*('[1]NPSF corr.'!C355/'[1]NPSF corr.'!C$55)*((('[1]A corr.'!$L$2+'6X TPRs'!$B39)/('[1]A corr.'!$L$2+'[1]A corr.'!$L$3))^2)</f>
        <v>0.2555138982698506</v>
      </c>
      <c r="D39" s="20">
        <f>('[1]%DD corr.'!D357/'[1]%DD corr.'!D$57)*('[1]NPSF corr.'!D355/'[1]NPSF corr.'!D$55)*((('[1]A corr.'!$L$2+'6X TPRs'!$B39)/('[1]A corr.'!$L$2+'[1]A corr.'!$L$3))^2)</f>
        <v>0.26748843851855247</v>
      </c>
      <c r="E39" s="21">
        <f>('[1]%DD corr.'!E357/'[1]%DD corr.'!E$57)*('[1]NPSF corr.'!E355/'[1]NPSF corr.'!E$55)*((('[1]A corr.'!$L$2+'6X TPRs'!$B39)/('[1]A corr.'!$L$2+'[1]A corr.'!$L$3))^2)</f>
        <v>0.27257782950647524</v>
      </c>
      <c r="F39" s="20">
        <f>('[1]%DD corr.'!F357/'[1]%DD corr.'!F$57)*('[1]NPSF corr.'!F355/'[1]NPSF corr.'!F$55)*((('[1]A corr.'!$L$2+'6X TPRs'!$B39)/('[1]A corr.'!$L$2+'[1]A corr.'!$L$3))^2)</f>
        <v>0.27732902329982073</v>
      </c>
      <c r="G39" s="21">
        <f>('[1]%DD corr.'!G357/'[1]%DD corr.'!G$57)*('[1]NPSF corr.'!G355/'[1]NPSF corr.'!G$55)*((('[1]A corr.'!$L$2+'6X TPRs'!$B39)/('[1]A corr.'!$L$2+'[1]A corr.'!$L$3))^2)</f>
        <v>0.28244446509252408</v>
      </c>
      <c r="H39" s="20">
        <f>('[1]%DD corr.'!H357/'[1]%DD corr.'!H$57)*('[1]NPSF corr.'!H355/'[1]NPSF corr.'!H$55)*((('[1]A corr.'!$L$2+'6X TPRs'!$B39)/('[1]A corr.'!$L$2+'[1]A corr.'!$L$3))^2)</f>
        <v>0.28752443304222208</v>
      </c>
      <c r="I39" s="21">
        <f>('[1]%DD corr.'!I357/'[1]%DD corr.'!I$57)*('[1]NPSF corr.'!I355/'[1]NPSF corr.'!I$55)*((('[1]A corr.'!$L$2+'6X TPRs'!$B39)/('[1]A corr.'!$L$2+'[1]A corr.'!$L$3))^2)</f>
        <v>0.29340557751375879</v>
      </c>
      <c r="J39" s="20">
        <f>('[1]%DD corr.'!J357/'[1]%DD corr.'!J$57)*('[1]NPSF corr.'!J355/'[1]NPSF corr.'!J$55)*((('[1]A corr.'!$L$2+'6X TPRs'!$B39)/('[1]A corr.'!$L$2+'[1]A corr.'!$L$3))^2)</f>
        <v>0.29916918391825531</v>
      </c>
      <c r="K39" s="21">
        <f>('[1]%DD corr.'!K357/'[1]%DD corr.'!K$57)*('[1]NPSF corr.'!K355/'[1]NPSF corr.'!K$55)*((('[1]A corr.'!$L$2+'6X TPRs'!$B39)/('[1]A corr.'!$L$2+'[1]A corr.'!$L$3))^2)</f>
        <v>0.31026547458576575</v>
      </c>
      <c r="L39" s="20">
        <f>('[1]%DD corr.'!L357/'[1]%DD corr.'!L$57)*('[1]NPSF corr.'!L355/'[1]NPSF corr.'!L$55)*((('[1]A corr.'!$L$2+'6X TPRs'!$B39)/('[1]A corr.'!$L$2+'[1]A corr.'!$L$3))^2)</f>
        <v>0.32081258627442583</v>
      </c>
      <c r="M39" s="21">
        <f>('[1]%DD corr.'!M357/'[1]%DD corr.'!M$57)*('[1]NPSF corr.'!M355/'[1]NPSF corr.'!M$55)*((('[1]A corr.'!$L$2+'6X TPRs'!$B39)/('[1]A corr.'!$L$2+'[1]A corr.'!$L$3))^2)</f>
        <v>0.32893742842621748</v>
      </c>
      <c r="N39" s="20">
        <f>('[1]%DD corr.'!N357/'[1]%DD corr.'!N$57)*('[1]NPSF corr.'!N355/'[1]NPSF corr.'!N$55)*((('[1]A corr.'!$L$2+'6X TPRs'!$B39)/('[1]A corr.'!$L$2+'[1]A corr.'!$L$3))^2)</f>
        <v>0.33810837853602516</v>
      </c>
      <c r="O39" s="21">
        <f>('[1]%DD corr.'!O357/'[1]%DD corr.'!O$57)*('[1]NPSF corr.'!O355/'[1]NPSF corr.'!O$55)*((('[1]A corr.'!$L$2+'6X TPRs'!$B39)/('[1]A corr.'!$L$2+'[1]A corr.'!$L$3))^2)</f>
        <v>0.34710401860235784</v>
      </c>
      <c r="P39" s="20">
        <f>('[1]%DD corr.'!P357/'[1]%DD corr.'!P$57)*('[1]NPSF corr.'!P355/'[1]NPSF corr.'!P$55)*((('[1]A corr.'!$L$2+'6X TPRs'!$B39)/('[1]A corr.'!$L$2+'[1]A corr.'!$L$3))^2)</f>
        <v>0.36517498591607228</v>
      </c>
      <c r="Q39" s="21">
        <f>('[1]%DD corr.'!Q357/'[1]%DD corr.'!Q$57)*('[1]NPSF corr.'!Q355/'[1]NPSF corr.'!Q$55)*((('[1]A corr.'!$L$2+'6X TPRs'!$B39)/('[1]A corr.'!$L$2+'[1]A corr.'!$L$3))^2)</f>
        <v>0.38057853241522388</v>
      </c>
      <c r="R39" s="20">
        <f>('[1]%DD corr.'!R357/'[1]%DD corr.'!R$57)*('[1]NPSF corr.'!R355/'[1]NPSF corr.'!R$55)*((('[1]A corr.'!$L$2+'6X TPRs'!$B39)/('[1]A corr.'!$L$2+'[1]A corr.'!$L$3))^2)</f>
        <v>0.39362518881065123</v>
      </c>
      <c r="S39" s="22">
        <f>('[1]%DD corr.'!S357/'[1]%DD corr.'!S$57)*('[1]NPSF corr.'!S355/'[1]NPSF corr.'!S$55)*((('[1]A corr.'!$L$2+'6X TPRs'!$B39)/('[1]A corr.'!$L$2+'[1]A corr.'!$L$3))^2)</f>
        <v>0.40441595668678954</v>
      </c>
    </row>
    <row r="42" spans="1:22" x14ac:dyDescent="0.25">
      <c r="A42" s="23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</row>
    <row r="43" spans="1:22" x14ac:dyDescent="0.25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</row>
    <row r="44" spans="1:22" x14ac:dyDescent="0.25">
      <c r="A44" s="23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14"/>
  <sheetViews>
    <sheetView zoomScale="80" zoomScaleNormal="80" workbookViewId="0">
      <selection activeCell="H9" sqref="H9"/>
    </sheetView>
  </sheetViews>
  <sheetFormatPr defaultRowHeight="15" x14ac:dyDescent="0.25"/>
  <cols>
    <col min="1" max="1" width="13.28515625" customWidth="1"/>
    <col min="2" max="2" width="17.28515625" customWidth="1"/>
    <col min="6" max="6" width="19.140625" customWidth="1"/>
    <col min="8" max="8" width="21.28515625" customWidth="1"/>
    <col min="9" max="9" width="14" customWidth="1"/>
    <col min="10" max="10" width="19.42578125" customWidth="1"/>
    <col min="11" max="11" width="17.42578125" customWidth="1"/>
    <col min="16" max="16" width="19.42578125" customWidth="1"/>
    <col min="21" max="21" width="12.85546875" customWidth="1"/>
  </cols>
  <sheetData>
    <row r="1" spans="1:22" x14ac:dyDescent="0.25">
      <c r="A1" t="s">
        <v>33</v>
      </c>
    </row>
    <row r="3" spans="1:22" x14ac:dyDescent="0.25">
      <c r="E3" s="2" t="s">
        <v>44</v>
      </c>
      <c r="F3" s="2" t="s">
        <v>44</v>
      </c>
      <c r="G3" s="2" t="s">
        <v>45</v>
      </c>
      <c r="H3" s="2" t="s">
        <v>45</v>
      </c>
      <c r="I3" s="2" t="s">
        <v>44</v>
      </c>
      <c r="J3" s="2" t="s">
        <v>45</v>
      </c>
      <c r="P3" t="s">
        <v>46</v>
      </c>
    </row>
    <row r="4" spans="1:22" s="2" customFormat="1" ht="14.45" x14ac:dyDescent="0.3">
      <c r="A4" s="2" t="s">
        <v>35</v>
      </c>
      <c r="B4" s="2" t="s">
        <v>36</v>
      </c>
      <c r="C4" s="2" t="s">
        <v>20</v>
      </c>
      <c r="D4" s="2" t="s">
        <v>21</v>
      </c>
      <c r="E4" s="2" t="s">
        <v>22</v>
      </c>
      <c r="F4" s="2" t="s">
        <v>25</v>
      </c>
      <c r="G4" s="2" t="s">
        <v>23</v>
      </c>
      <c r="H4" s="2" t="s">
        <v>28</v>
      </c>
      <c r="I4" s="2" t="s">
        <v>29</v>
      </c>
      <c r="J4" s="2" t="s">
        <v>30</v>
      </c>
      <c r="K4" s="2" t="s">
        <v>24</v>
      </c>
      <c r="L4" s="2" t="s">
        <v>31</v>
      </c>
      <c r="M4" s="2" t="s">
        <v>32</v>
      </c>
      <c r="O4" s="2" t="s">
        <v>38</v>
      </c>
      <c r="P4" s="28" t="s">
        <v>37</v>
      </c>
      <c r="Q4" s="28">
        <v>7</v>
      </c>
      <c r="R4" s="28">
        <v>8</v>
      </c>
      <c r="S4" s="28">
        <v>10</v>
      </c>
      <c r="T4" s="28">
        <v>20</v>
      </c>
      <c r="U4" s="29" t="s">
        <v>27</v>
      </c>
      <c r="V4" s="28">
        <v>9.09</v>
      </c>
    </row>
    <row r="5" spans="1:22" s="2" customFormat="1" x14ac:dyDescent="0.25">
      <c r="A5" s="2">
        <v>10</v>
      </c>
      <c r="B5" s="2">
        <v>5</v>
      </c>
      <c r="C5" s="2">
        <v>100</v>
      </c>
      <c r="D5" s="2">
        <v>10</v>
      </c>
      <c r="E5" s="2">
        <f>(D5*C5)/(C5+A5)</f>
        <v>9.0909090909090917</v>
      </c>
      <c r="F5" s="2">
        <v>65.849999999999994</v>
      </c>
      <c r="G5" s="2">
        <f>(D5*C5)/(C5+B5)</f>
        <v>9.5238095238095237</v>
      </c>
      <c r="H5" s="2">
        <v>85.94</v>
      </c>
      <c r="I5" s="30">
        <v>0.99726999999999999</v>
      </c>
      <c r="J5" s="30">
        <v>0.99856999999999996</v>
      </c>
      <c r="K5" s="2">
        <f>((C5+A5)/(C5+B5))^2</f>
        <v>1.0975056689342404</v>
      </c>
      <c r="L5" s="2">
        <f>(F5/H5)*(I5/J5)*K5</f>
        <v>0.8398494505796138</v>
      </c>
      <c r="M5" s="2">
        <v>0.84</v>
      </c>
      <c r="P5" s="28" t="s">
        <v>26</v>
      </c>
      <c r="Q5" s="27">
        <v>64.612922584516895</v>
      </c>
      <c r="R5" s="27">
        <v>65.206520652065223</v>
      </c>
      <c r="S5" s="27">
        <v>66.436643664366457</v>
      </c>
      <c r="T5" s="27">
        <v>67.37</v>
      </c>
      <c r="U5" s="28" t="s">
        <v>26</v>
      </c>
      <c r="V5" s="32">
        <f>FORECAST(V4,R5:S5,R4:S4)</f>
        <v>65.876937693769406</v>
      </c>
    </row>
    <row r="7" spans="1:22" x14ac:dyDescent="0.25">
      <c r="A7" t="s">
        <v>57</v>
      </c>
    </row>
    <row r="8" spans="1:22" ht="14.45" x14ac:dyDescent="0.3">
      <c r="A8" s="2" t="s">
        <v>35</v>
      </c>
      <c r="B8" s="2" t="s">
        <v>36</v>
      </c>
      <c r="C8" s="2" t="s">
        <v>20</v>
      </c>
      <c r="D8" s="2" t="s">
        <v>21</v>
      </c>
      <c r="E8" s="2" t="s">
        <v>22</v>
      </c>
      <c r="F8" s="2" t="s">
        <v>25</v>
      </c>
      <c r="G8" s="2" t="s">
        <v>23</v>
      </c>
      <c r="H8" s="2" t="s">
        <v>28</v>
      </c>
      <c r="I8" s="2" t="s">
        <v>29</v>
      </c>
      <c r="J8" s="2" t="s">
        <v>30</v>
      </c>
      <c r="K8" s="2" t="s">
        <v>24</v>
      </c>
      <c r="L8" s="2" t="s">
        <v>31</v>
      </c>
      <c r="M8" s="2" t="s">
        <v>32</v>
      </c>
      <c r="O8" t="s">
        <v>39</v>
      </c>
      <c r="P8" s="28" t="s">
        <v>40</v>
      </c>
      <c r="Q8" s="28">
        <v>7</v>
      </c>
      <c r="R8" s="28">
        <v>8</v>
      </c>
      <c r="S8" s="28">
        <v>10</v>
      </c>
      <c r="T8" s="28">
        <v>200</v>
      </c>
      <c r="U8" s="29" t="s">
        <v>27</v>
      </c>
      <c r="V8" s="28">
        <v>9.5229999999999997</v>
      </c>
    </row>
    <row r="9" spans="1:22" s="2" customFormat="1" x14ac:dyDescent="0.25">
      <c r="A9" s="2">
        <v>0</v>
      </c>
      <c r="B9" s="2">
        <v>5</v>
      </c>
      <c r="C9" s="2">
        <v>100</v>
      </c>
      <c r="D9" s="2">
        <v>20</v>
      </c>
      <c r="E9" s="2">
        <f>(D9*C9)/(C9+A9)</f>
        <v>20</v>
      </c>
      <c r="F9" s="2">
        <f>PDD(E9*10,A9*10)</f>
        <v>58.627588276482939</v>
      </c>
      <c r="G9" s="2">
        <f>(D9*C9)/(C9+B9)</f>
        <v>19.047619047619047</v>
      </c>
      <c r="H9" s="2">
        <f>PDD(G9*10,B9*10)</f>
        <v>87.333589268904802</v>
      </c>
      <c r="I9" s="2">
        <f>NPSF(E9*10)</f>
        <v>1.0229999999999999</v>
      </c>
      <c r="J9" s="2">
        <f>NPSF(G9*10)</f>
        <v>1.0210952380952381</v>
      </c>
      <c r="K9" s="2">
        <f>((C9+A9)/(C9+B9))^2</f>
        <v>0.90702947845804982</v>
      </c>
      <c r="L9" s="2">
        <f>TPR(D9*10,A9*10,B9*10)</f>
        <v>0.6100304374598966</v>
      </c>
      <c r="P9" s="28" t="s">
        <v>26</v>
      </c>
      <c r="Q9" s="27">
        <v>85.287057411482294</v>
      </c>
      <c r="R9" s="27">
        <v>85.548554855485563</v>
      </c>
      <c r="S9" s="27">
        <v>86.078607860786079</v>
      </c>
      <c r="T9" s="27">
        <v>86.52</v>
      </c>
      <c r="U9" s="28" t="s">
        <v>26</v>
      </c>
      <c r="V9" s="32">
        <f>FORECAST(V8,R9:S9,R8:S8)</f>
        <v>85.952190219021901</v>
      </c>
    </row>
    <row r="12" spans="1:22" x14ac:dyDescent="0.25">
      <c r="P12" t="s">
        <v>41</v>
      </c>
    </row>
    <row r="13" spans="1:22" x14ac:dyDescent="0.25">
      <c r="P13" s="31" t="s">
        <v>42</v>
      </c>
      <c r="Q13" s="28">
        <v>9</v>
      </c>
      <c r="R13" s="28">
        <v>10</v>
      </c>
      <c r="S13" s="31" t="s">
        <v>27</v>
      </c>
      <c r="T13" s="31"/>
      <c r="U13" s="28">
        <v>9.5238099999999992</v>
      </c>
    </row>
    <row r="14" spans="1:22" x14ac:dyDescent="0.25">
      <c r="P14" s="31" t="s">
        <v>43</v>
      </c>
      <c r="Q14">
        <v>0.997</v>
      </c>
      <c r="R14">
        <v>1</v>
      </c>
      <c r="S14" s="31" t="s">
        <v>43</v>
      </c>
      <c r="T14" s="31"/>
      <c r="U14" s="32">
        <f>FORECAST(U13,Q14:R14,Q13:R13)</f>
        <v>0.99857143000000004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2"/>
  <sheetViews>
    <sheetView workbookViewId="0">
      <selection activeCell="F8" sqref="F8"/>
    </sheetView>
  </sheetViews>
  <sheetFormatPr defaultRowHeight="15" x14ac:dyDescent="0.25"/>
  <cols>
    <col min="1" max="2" width="12.85546875" customWidth="1"/>
    <col min="3" max="3" width="8.42578125" customWidth="1"/>
    <col min="4" max="4" width="7.5703125" customWidth="1"/>
  </cols>
  <sheetData>
    <row r="1" spans="1:18" x14ac:dyDescent="0.25">
      <c r="A1" t="s">
        <v>58</v>
      </c>
      <c r="B1">
        <v>10</v>
      </c>
      <c r="C1">
        <v>20</v>
      </c>
      <c r="D1">
        <v>30</v>
      </c>
      <c r="E1" s="2">
        <v>40</v>
      </c>
      <c r="F1" s="2">
        <v>50</v>
      </c>
      <c r="G1" s="2">
        <v>60</v>
      </c>
      <c r="H1" s="2">
        <v>70</v>
      </c>
      <c r="I1" s="2">
        <v>80</v>
      </c>
      <c r="J1" s="2">
        <v>90</v>
      </c>
      <c r="K1" s="2">
        <v>100</v>
      </c>
      <c r="L1" s="2">
        <v>120</v>
      </c>
      <c r="M1" s="2">
        <v>150</v>
      </c>
      <c r="N1" s="2">
        <v>200</v>
      </c>
      <c r="O1" s="2">
        <v>250</v>
      </c>
      <c r="P1" s="2">
        <v>300</v>
      </c>
      <c r="Q1" s="2">
        <v>350</v>
      </c>
      <c r="R1" s="2">
        <v>400</v>
      </c>
    </row>
    <row r="2" spans="1:18" x14ac:dyDescent="0.25">
      <c r="A2" t="s">
        <v>43</v>
      </c>
      <c r="B2">
        <v>0.96699999999999997</v>
      </c>
      <c r="C2">
        <v>0.97099999999999997</v>
      </c>
      <c r="D2">
        <v>0.97499999999999998</v>
      </c>
      <c r="E2" s="2">
        <v>0.97899999999999998</v>
      </c>
      <c r="F2" s="2">
        <v>0.98299999999999998</v>
      </c>
      <c r="G2" s="2">
        <v>0.98699999999999999</v>
      </c>
      <c r="H2" s="2">
        <v>0.99</v>
      </c>
      <c r="I2" s="2">
        <v>0.99399999999999999</v>
      </c>
      <c r="J2" s="2">
        <v>0.997</v>
      </c>
      <c r="K2" s="2">
        <v>1</v>
      </c>
      <c r="L2" s="2">
        <v>1.006</v>
      </c>
      <c r="M2" s="2">
        <v>1.0129999999999999</v>
      </c>
      <c r="N2" s="2">
        <v>1.0229999999999999</v>
      </c>
      <c r="O2" s="2">
        <v>1.0289999999999999</v>
      </c>
      <c r="P2" s="2">
        <v>1.0329999999999999</v>
      </c>
      <c r="Q2" s="2">
        <v>1.0369999999999999</v>
      </c>
      <c r="R2" s="2">
        <v>1.04</v>
      </c>
    </row>
    <row r="7" spans="1:18" x14ac:dyDescent="0.25">
      <c r="A7" t="s">
        <v>47</v>
      </c>
      <c r="E7" t="s">
        <v>48</v>
      </c>
      <c r="F7">
        <v>10</v>
      </c>
    </row>
    <row r="8" spans="1:18" x14ac:dyDescent="0.25">
      <c r="E8" t="s">
        <v>49</v>
      </c>
      <c r="F8" t="s">
        <v>70</v>
      </c>
    </row>
    <row r="9" spans="1:18" x14ac:dyDescent="0.25">
      <c r="E9" t="s">
        <v>50</v>
      </c>
      <c r="F9">
        <f>NPSF(F7)</f>
        <v>0.96699999999999997</v>
      </c>
      <c r="H9" t="s">
        <v>51</v>
      </c>
    </row>
    <row r="19" spans="7:7" x14ac:dyDescent="0.25">
      <c r="G19">
        <f>0.983-0.979</f>
        <v>4.0000000000000036E-3</v>
      </c>
    </row>
    <row r="20" spans="7:7" x14ac:dyDescent="0.25">
      <c r="G20">
        <f>0.979-G19</f>
        <v>0.97499999999999998</v>
      </c>
    </row>
    <row r="21" spans="7:7" x14ac:dyDescent="0.25">
      <c r="G21">
        <f>G20-G19</f>
        <v>0.97099999999999997</v>
      </c>
    </row>
    <row r="22" spans="7:7" x14ac:dyDescent="0.25">
      <c r="G22">
        <f>G21-G19</f>
        <v>0.96699999999999997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53"/>
  <sheetViews>
    <sheetView workbookViewId="0">
      <selection activeCell="V5" sqref="V5"/>
    </sheetView>
  </sheetViews>
  <sheetFormatPr defaultRowHeight="15" x14ac:dyDescent="0.25"/>
  <cols>
    <col min="1" max="1" width="20.28515625" customWidth="1"/>
    <col min="2" max="2" width="14.5703125" customWidth="1"/>
    <col min="3" max="3" width="13.28515625" customWidth="1"/>
    <col min="4" max="4" width="13.85546875" customWidth="1"/>
    <col min="5" max="5" width="13.28515625" customWidth="1"/>
    <col min="6" max="7" width="13" customWidth="1"/>
    <col min="8" max="8" width="13.7109375" customWidth="1"/>
    <col min="9" max="9" width="13.5703125" customWidth="1"/>
    <col min="10" max="10" width="17" customWidth="1"/>
    <col min="11" max="11" width="17.7109375" customWidth="1"/>
    <col min="12" max="12" width="13.42578125" customWidth="1"/>
    <col min="13" max="13" width="15.42578125" customWidth="1"/>
    <col min="14" max="14" width="13.7109375" customWidth="1"/>
    <col min="15" max="15" width="14" customWidth="1"/>
    <col min="16" max="16" width="15.85546875" customWidth="1"/>
    <col min="18" max="18" width="10.85546875" customWidth="1"/>
  </cols>
  <sheetData>
    <row r="1" spans="1:21" x14ac:dyDescent="0.25">
      <c r="A1" s="2" t="s">
        <v>52</v>
      </c>
      <c r="B1" s="2">
        <v>10</v>
      </c>
      <c r="C1" s="2">
        <v>20</v>
      </c>
      <c r="D1" s="2">
        <v>30</v>
      </c>
      <c r="E1" s="2">
        <v>40</v>
      </c>
      <c r="F1" s="2">
        <v>50</v>
      </c>
      <c r="G1" s="2">
        <v>60</v>
      </c>
      <c r="H1" s="2">
        <v>70</v>
      </c>
      <c r="I1" s="2">
        <v>80</v>
      </c>
      <c r="J1" s="2">
        <v>100</v>
      </c>
      <c r="K1" s="2">
        <v>120</v>
      </c>
      <c r="L1" s="2">
        <v>150</v>
      </c>
      <c r="M1" s="2">
        <v>200</v>
      </c>
      <c r="N1" s="2">
        <v>250</v>
      </c>
      <c r="O1" s="2">
        <v>300</v>
      </c>
      <c r="P1" s="2">
        <v>400</v>
      </c>
      <c r="R1" t="s">
        <v>53</v>
      </c>
      <c r="S1" s="2">
        <v>400</v>
      </c>
      <c r="U1" t="s">
        <v>66</v>
      </c>
    </row>
    <row r="2" spans="1:21" x14ac:dyDescent="0.25">
      <c r="A2" s="2">
        <v>0</v>
      </c>
      <c r="B2" s="27">
        <f>C2-1</f>
        <v>42</v>
      </c>
      <c r="C2" s="27">
        <v>43</v>
      </c>
      <c r="D2" s="27">
        <v>44.78895779155831</v>
      </c>
      <c r="E2" s="27">
        <v>45.348139255702286</v>
      </c>
      <c r="F2" s="27">
        <v>46.56396919075722</v>
      </c>
      <c r="G2" s="27">
        <v>47.309461892378472</v>
      </c>
      <c r="H2" s="27">
        <v>48.739747949589912</v>
      </c>
      <c r="I2" s="27">
        <v>49.034903490349045</v>
      </c>
      <c r="J2" s="27">
        <v>50.835083508350841</v>
      </c>
      <c r="K2" s="27">
        <v>51.9</v>
      </c>
      <c r="L2" s="27">
        <v>54.620924184836966</v>
      </c>
      <c r="M2" s="27">
        <v>58.627588276482939</v>
      </c>
      <c r="N2" s="27">
        <v>62.266226622662273</v>
      </c>
      <c r="O2" s="27">
        <v>65.313062612522501</v>
      </c>
      <c r="P2" s="27">
        <v>69.286928692869296</v>
      </c>
      <c r="R2" t="s">
        <v>54</v>
      </c>
      <c r="S2" s="27">
        <v>5</v>
      </c>
    </row>
    <row r="3" spans="1:21" x14ac:dyDescent="0.25">
      <c r="A3" s="2">
        <v>1</v>
      </c>
      <c r="B3" s="27">
        <f t="shared" ref="B3:B66" si="0">C3-1</f>
        <v>49</v>
      </c>
      <c r="C3" s="27">
        <v>50</v>
      </c>
      <c r="D3" s="27">
        <v>50.380076015203038</v>
      </c>
      <c r="E3" s="27">
        <v>50.720288115246106</v>
      </c>
      <c r="F3" s="27">
        <v>52.025607682304688</v>
      </c>
      <c r="G3" s="27">
        <v>52.780556111222246</v>
      </c>
      <c r="H3" s="27">
        <v>54.240848169633921</v>
      </c>
      <c r="I3" s="27">
        <v>54.415441544154419</v>
      </c>
      <c r="J3" s="27">
        <v>56.305630563056312</v>
      </c>
      <c r="K3" s="27">
        <v>56.82</v>
      </c>
      <c r="L3" s="27">
        <v>59.541908381676336</v>
      </c>
      <c r="M3" s="27">
        <v>63.399019705911769</v>
      </c>
      <c r="N3" s="27">
        <v>66.866686668666873</v>
      </c>
      <c r="O3" s="27">
        <v>69.833966793358655</v>
      </c>
      <c r="P3" s="27">
        <v>73.517351735173534</v>
      </c>
    </row>
    <row r="4" spans="1:21" x14ac:dyDescent="0.25">
      <c r="A4" s="2">
        <v>2</v>
      </c>
      <c r="B4" s="27">
        <f t="shared" si="0"/>
        <v>56</v>
      </c>
      <c r="C4" s="27">
        <v>57</v>
      </c>
      <c r="D4" s="27">
        <v>58.641728345669137</v>
      </c>
      <c r="E4" s="27">
        <v>58.663465386154471</v>
      </c>
      <c r="F4" s="27">
        <v>60.268080424127234</v>
      </c>
      <c r="G4" s="27">
        <v>60.932186437287456</v>
      </c>
      <c r="H4" s="27">
        <v>61.812362472494492</v>
      </c>
      <c r="I4" s="27">
        <v>62.416241624162424</v>
      </c>
      <c r="J4" s="27">
        <v>64.086408640864093</v>
      </c>
      <c r="K4" s="27">
        <v>64.099999999999994</v>
      </c>
      <c r="L4" s="27">
        <v>66.653330666133229</v>
      </c>
      <c r="M4" s="27">
        <v>70.141042312693813</v>
      </c>
      <c r="N4" s="27">
        <v>73.247324732473245</v>
      </c>
      <c r="O4" s="27">
        <v>75.845169033806755</v>
      </c>
      <c r="P4" s="27">
        <v>79.087908790879098</v>
      </c>
      <c r="R4" t="s">
        <v>55</v>
      </c>
      <c r="S4" t="e">
        <f>linInterpRC(S1,S2,C1:P1,A2:A352,C2:P352)</f>
        <v>#VALUE!</v>
      </c>
    </row>
    <row r="5" spans="1:21" x14ac:dyDescent="0.25">
      <c r="A5" s="2">
        <v>3</v>
      </c>
      <c r="B5" s="27">
        <f t="shared" si="0"/>
        <v>66.2</v>
      </c>
      <c r="C5" s="27">
        <v>67.2</v>
      </c>
      <c r="D5" s="27">
        <v>68.223644728945786</v>
      </c>
      <c r="E5" s="27">
        <v>67.937174869947981</v>
      </c>
      <c r="F5" s="27">
        <v>69.610883264979492</v>
      </c>
      <c r="G5" s="27">
        <v>70.194038807761558</v>
      </c>
      <c r="H5" s="27">
        <v>70.32406481296259</v>
      </c>
      <c r="I5" s="27">
        <v>71.447144714471449</v>
      </c>
      <c r="J5" s="27">
        <v>72.797279727972807</v>
      </c>
      <c r="K5" s="27">
        <v>72.52</v>
      </c>
      <c r="L5" s="27">
        <v>74.724944988997791</v>
      </c>
      <c r="M5" s="27">
        <v>77.653295988796629</v>
      </c>
      <c r="N5" s="27">
        <v>80.198019801980209</v>
      </c>
      <c r="O5" s="27">
        <v>82.286457291458291</v>
      </c>
      <c r="P5" s="27">
        <v>84.818481848184831</v>
      </c>
      <c r="R5" t="s">
        <v>56</v>
      </c>
      <c r="S5" t="e">
        <f>PDD(S1,S2)</f>
        <v>#VALUE!</v>
      </c>
    </row>
    <row r="6" spans="1:21" x14ac:dyDescent="0.25">
      <c r="A6" s="2">
        <v>4</v>
      </c>
      <c r="B6" s="27">
        <f t="shared" si="0"/>
        <v>74.8</v>
      </c>
      <c r="C6" s="27">
        <v>75.8</v>
      </c>
      <c r="D6" s="27">
        <v>76.79535907181436</v>
      </c>
      <c r="E6" s="27">
        <v>76.420568227290929</v>
      </c>
      <c r="F6" s="27">
        <v>77.773331999599876</v>
      </c>
      <c r="G6" s="27">
        <v>78.275655131026213</v>
      </c>
      <c r="H6" s="27">
        <v>78.115623124624918</v>
      </c>
      <c r="I6" s="27">
        <v>79.26792679267929</v>
      </c>
      <c r="J6" s="27">
        <v>80.368036803680383</v>
      </c>
      <c r="K6" s="27">
        <v>80.06</v>
      </c>
      <c r="L6" s="27">
        <v>81.846369273854762</v>
      </c>
      <c r="M6" s="27">
        <v>84.145243573071923</v>
      </c>
      <c r="N6" s="27">
        <v>86.128612861286143</v>
      </c>
      <c r="O6" s="27">
        <v>87.727545509101816</v>
      </c>
      <c r="P6" s="27">
        <v>89.548954895489572</v>
      </c>
    </row>
    <row r="7" spans="1:21" x14ac:dyDescent="0.25">
      <c r="A7" s="2">
        <v>5</v>
      </c>
      <c r="B7" s="27">
        <f t="shared" si="0"/>
        <v>81.784835450635185</v>
      </c>
      <c r="C7" s="27">
        <v>82.784835450635185</v>
      </c>
      <c r="D7" s="27">
        <v>83.306661332266458</v>
      </c>
      <c r="E7" s="27">
        <v>82.973189275710297</v>
      </c>
      <c r="F7" s="27">
        <v>83.975192557767329</v>
      </c>
      <c r="G7" s="27">
        <v>84.396879375875173</v>
      </c>
      <c r="H7" s="27">
        <v>84.27685537107422</v>
      </c>
      <c r="I7" s="27">
        <v>85.138513851385142</v>
      </c>
      <c r="J7" s="27">
        <v>86.048604860486066</v>
      </c>
      <c r="K7" s="27">
        <v>85.87</v>
      </c>
      <c r="L7" s="27">
        <v>87.207441488297647</v>
      </c>
      <c r="M7" s="27">
        <v>89.006702010603178</v>
      </c>
      <c r="N7" s="27">
        <v>90.529052905290541</v>
      </c>
      <c r="O7" s="27">
        <v>91.738347669533908</v>
      </c>
      <c r="P7" s="27">
        <v>92.98929892989301</v>
      </c>
    </row>
    <row r="8" spans="1:21" x14ac:dyDescent="0.25">
      <c r="A8" s="2">
        <v>6</v>
      </c>
      <c r="B8" s="27">
        <f t="shared" si="0"/>
        <v>86.726317895368609</v>
      </c>
      <c r="C8" s="27">
        <v>87.726317895368609</v>
      </c>
      <c r="D8" s="27">
        <v>88.137627525505096</v>
      </c>
      <c r="E8" s="27">
        <v>87.805122048819541</v>
      </c>
      <c r="F8" s="27">
        <v>88.546563969190743</v>
      </c>
      <c r="G8" s="27">
        <v>88.957791558311655</v>
      </c>
      <c r="H8" s="27">
        <v>88.857771554310858</v>
      </c>
      <c r="I8" s="27">
        <v>89.478947894789485</v>
      </c>
      <c r="J8" s="27">
        <v>90.219021902190221</v>
      </c>
      <c r="K8" s="27">
        <v>90.14</v>
      </c>
      <c r="L8" s="27">
        <v>91.118223644728943</v>
      </c>
      <c r="M8" s="27">
        <v>92.537761328398517</v>
      </c>
      <c r="N8" s="27">
        <v>93.649364936493669</v>
      </c>
      <c r="O8" s="27">
        <v>94.568913782756539</v>
      </c>
      <c r="P8" s="27">
        <v>95.409540954095434</v>
      </c>
    </row>
    <row r="9" spans="1:21" x14ac:dyDescent="0.25">
      <c r="A9" s="2">
        <v>7</v>
      </c>
      <c r="B9" s="27">
        <f t="shared" si="0"/>
        <v>90.47744323296989</v>
      </c>
      <c r="C9" s="27">
        <v>91.47744323296989</v>
      </c>
      <c r="D9" s="27">
        <v>91.7883576715343</v>
      </c>
      <c r="E9" s="27">
        <v>91.466586634653879</v>
      </c>
      <c r="F9" s="27">
        <v>91.997599279783927</v>
      </c>
      <c r="G9" s="27">
        <v>92.358471694338874</v>
      </c>
      <c r="H9" s="27">
        <v>92.278455691138234</v>
      </c>
      <c r="I9" s="27">
        <v>92.709270927092732</v>
      </c>
      <c r="J9" s="27">
        <v>93.299329932993317</v>
      </c>
      <c r="K9" s="27">
        <v>93.27</v>
      </c>
      <c r="L9" s="27">
        <v>93.9887977595519</v>
      </c>
      <c r="M9" s="27">
        <v>95.078523557067115</v>
      </c>
      <c r="N9" s="27">
        <v>95.879587958795895</v>
      </c>
      <c r="O9" s="27">
        <v>96.529305861172233</v>
      </c>
      <c r="P9" s="27">
        <v>97.129712971297153</v>
      </c>
    </row>
    <row r="10" spans="1:21" x14ac:dyDescent="0.25">
      <c r="A10" s="2">
        <v>8</v>
      </c>
      <c r="B10" s="27">
        <f t="shared" si="0"/>
        <v>93.28828648594579</v>
      </c>
      <c r="C10" s="27">
        <v>94.28828648594579</v>
      </c>
      <c r="D10" s="27">
        <v>94.468893778755756</v>
      </c>
      <c r="E10" s="27">
        <v>94.207683073229305</v>
      </c>
      <c r="F10" s="27">
        <v>94.568370511153347</v>
      </c>
      <c r="G10" s="27">
        <v>94.828965793158631</v>
      </c>
      <c r="H10" s="27">
        <v>94.808961792358474</v>
      </c>
      <c r="I10" s="27">
        <v>95.109510951095118</v>
      </c>
      <c r="J10" s="27">
        <v>95.549554955495566</v>
      </c>
      <c r="K10" s="27">
        <v>95.51</v>
      </c>
      <c r="L10" s="27">
        <v>96.069213842768548</v>
      </c>
      <c r="M10" s="27">
        <v>96.899069720916273</v>
      </c>
      <c r="N10" s="27">
        <v>97.42974297429744</v>
      </c>
      <c r="O10" s="27">
        <v>97.889577915583118</v>
      </c>
      <c r="P10" s="27">
        <v>98.309830983098323</v>
      </c>
    </row>
    <row r="11" spans="1:21" x14ac:dyDescent="0.25">
      <c r="A11" s="2">
        <v>9</v>
      </c>
      <c r="B11" s="27">
        <f t="shared" si="0"/>
        <v>95.328898669600875</v>
      </c>
      <c r="C11" s="27">
        <v>96.328898669600875</v>
      </c>
      <c r="D11" s="27">
        <v>96.439287857571514</v>
      </c>
      <c r="E11" s="27">
        <v>96.19847939175672</v>
      </c>
      <c r="F11" s="27">
        <v>96.47894368310493</v>
      </c>
      <c r="G11" s="27">
        <v>96.639327865573108</v>
      </c>
      <c r="H11" s="27">
        <v>96.679335867173421</v>
      </c>
      <c r="I11" s="27">
        <v>96.869686968696882</v>
      </c>
      <c r="J11" s="27">
        <v>97.169716971697184</v>
      </c>
      <c r="K11" s="27">
        <v>97.12</v>
      </c>
      <c r="L11" s="27">
        <v>97.579515903180635</v>
      </c>
      <c r="M11" s="27">
        <v>98.169450835250572</v>
      </c>
      <c r="N11" s="27">
        <v>98.489848984898501</v>
      </c>
      <c r="O11" s="27">
        <v>98.819763952790552</v>
      </c>
      <c r="P11" s="27">
        <v>99.069906990699081</v>
      </c>
    </row>
    <row r="12" spans="1:21" x14ac:dyDescent="0.25">
      <c r="A12" s="2">
        <v>10</v>
      </c>
      <c r="B12" s="27">
        <f t="shared" si="0"/>
        <v>96.739321796538945</v>
      </c>
      <c r="C12" s="27">
        <v>97.739321796538945</v>
      </c>
      <c r="D12" s="27">
        <v>97.859571914382869</v>
      </c>
      <c r="E12" s="27">
        <v>97.619047619047635</v>
      </c>
      <c r="F12" s="27">
        <v>97.859357807342192</v>
      </c>
      <c r="G12" s="27">
        <v>97.949589917983602</v>
      </c>
      <c r="H12" s="27">
        <v>97.999599919983993</v>
      </c>
      <c r="I12" s="27">
        <v>98.129812981298144</v>
      </c>
      <c r="J12" s="27">
        <v>98.329832983298331</v>
      </c>
      <c r="K12" s="27">
        <v>98.26</v>
      </c>
      <c r="L12" s="27">
        <v>98.619723944788944</v>
      </c>
      <c r="M12" s="27">
        <v>99.019705911773514</v>
      </c>
      <c r="N12" s="27">
        <v>99.209920992099228</v>
      </c>
      <c r="O12" s="27">
        <v>99.449889977995596</v>
      </c>
      <c r="P12" s="27">
        <v>99.579957995799589</v>
      </c>
    </row>
    <row r="13" spans="1:21" x14ac:dyDescent="0.25">
      <c r="A13" s="2">
        <v>11</v>
      </c>
      <c r="B13" s="27">
        <f t="shared" si="0"/>
        <v>97.729618885665701</v>
      </c>
      <c r="C13" s="27">
        <v>98.729618885665701</v>
      </c>
      <c r="D13" s="27">
        <v>98.789757951590303</v>
      </c>
      <c r="E13" s="27">
        <v>98.609443777511018</v>
      </c>
      <c r="F13" s="27">
        <v>98.819645893768126</v>
      </c>
      <c r="G13" s="27">
        <v>98.879775955191036</v>
      </c>
      <c r="H13" s="27">
        <v>98.909781956391271</v>
      </c>
      <c r="I13" s="27">
        <v>98.999899989999008</v>
      </c>
      <c r="J13" s="27">
        <v>99.099909990999123</v>
      </c>
      <c r="K13" s="27">
        <v>99.04</v>
      </c>
      <c r="L13" s="27">
        <v>99.31986397279455</v>
      </c>
      <c r="M13" s="27">
        <v>99.519855956787026</v>
      </c>
      <c r="N13" s="27">
        <v>99.659965996599681</v>
      </c>
      <c r="O13" s="27">
        <v>99.819963992798549</v>
      </c>
      <c r="P13" s="27">
        <v>99.869986998699886</v>
      </c>
    </row>
    <row r="14" spans="1:21" x14ac:dyDescent="0.25">
      <c r="A14" s="2">
        <v>12</v>
      </c>
      <c r="B14" s="27">
        <f t="shared" si="0"/>
        <v>98.389816945083524</v>
      </c>
      <c r="C14" s="27">
        <v>99.389816945083524</v>
      </c>
      <c r="D14" s="27">
        <v>99.389877975595113</v>
      </c>
      <c r="E14" s="27">
        <v>99.299719887955206</v>
      </c>
      <c r="F14" s="27">
        <v>99.439831949584871</v>
      </c>
      <c r="G14" s="27">
        <v>99.489897979595909</v>
      </c>
      <c r="H14" s="27">
        <v>99.509901980396066</v>
      </c>
      <c r="I14" s="27">
        <v>99.569956995699584</v>
      </c>
      <c r="J14" s="27">
        <v>99.589958995899607</v>
      </c>
      <c r="K14" s="27">
        <v>99.56</v>
      </c>
      <c r="L14" s="27">
        <v>99.72994598919783</v>
      </c>
      <c r="M14" s="27">
        <v>99.819945983795137</v>
      </c>
      <c r="N14" s="27">
        <v>99.919991999199937</v>
      </c>
      <c r="O14" s="27">
        <v>99.979995999199829</v>
      </c>
      <c r="P14" s="27">
        <v>100.00000000000001</v>
      </c>
    </row>
    <row r="15" spans="1:21" x14ac:dyDescent="0.25">
      <c r="A15" s="2">
        <v>13</v>
      </c>
      <c r="B15" s="27">
        <f t="shared" si="0"/>
        <v>98.75992797839352</v>
      </c>
      <c r="C15" s="27">
        <v>99.75992797839352</v>
      </c>
      <c r="D15" s="27">
        <v>99.799959991998392</v>
      </c>
      <c r="E15" s="27">
        <v>99.749899959984006</v>
      </c>
      <c r="F15" s="27">
        <v>99.809942982894867</v>
      </c>
      <c r="G15" s="27">
        <v>99.839967993598705</v>
      </c>
      <c r="H15" s="27">
        <v>99.849969993998798</v>
      </c>
      <c r="I15" s="27">
        <v>99.889988998899895</v>
      </c>
      <c r="J15" s="27">
        <v>99.869986998699886</v>
      </c>
      <c r="K15" s="27">
        <v>99.87</v>
      </c>
      <c r="L15" s="27">
        <v>99.949989997999609</v>
      </c>
      <c r="M15" s="27">
        <v>99.979993998199461</v>
      </c>
      <c r="N15" s="27">
        <v>100.00000000000001</v>
      </c>
      <c r="O15" s="27">
        <v>100</v>
      </c>
      <c r="P15" s="27">
        <v>99.979997999799991</v>
      </c>
    </row>
    <row r="16" spans="1:21" x14ac:dyDescent="0.25">
      <c r="A16" s="2">
        <v>14</v>
      </c>
      <c r="B16" s="27">
        <f t="shared" si="0"/>
        <v>98.999999999999986</v>
      </c>
      <c r="C16" s="27">
        <v>99.999999999999986</v>
      </c>
      <c r="D16" s="27">
        <v>99.979995999199829</v>
      </c>
      <c r="E16" s="27">
        <v>99.979991996798731</v>
      </c>
      <c r="F16" s="27">
        <v>99.989996999099716</v>
      </c>
      <c r="G16" s="27">
        <v>100</v>
      </c>
      <c r="H16" s="27">
        <v>100</v>
      </c>
      <c r="I16" s="27">
        <v>100.00000000000001</v>
      </c>
      <c r="J16" s="27">
        <v>100.00000000000001</v>
      </c>
      <c r="K16" s="27">
        <v>100</v>
      </c>
      <c r="L16" s="27">
        <v>100</v>
      </c>
      <c r="M16" s="27">
        <v>99.999999999999986</v>
      </c>
      <c r="N16" s="27">
        <v>99.949994999499964</v>
      </c>
      <c r="O16" s="27">
        <v>99.929985997199438</v>
      </c>
      <c r="P16" s="27">
        <v>99.889988998899895</v>
      </c>
    </row>
    <row r="17" spans="1:16" x14ac:dyDescent="0.25">
      <c r="A17" s="2">
        <v>15</v>
      </c>
      <c r="B17" s="27">
        <f t="shared" si="0"/>
        <v>98.999999999999986</v>
      </c>
      <c r="C17" s="27">
        <v>99.999999999999986</v>
      </c>
      <c r="D17" s="27">
        <v>100</v>
      </c>
      <c r="E17" s="27">
        <v>100.00000000000001</v>
      </c>
      <c r="F17" s="27">
        <v>99.999999999999986</v>
      </c>
      <c r="G17" s="27">
        <v>100</v>
      </c>
      <c r="H17" s="27">
        <v>99.979995999199829</v>
      </c>
      <c r="I17" s="27">
        <v>99.98999899990001</v>
      </c>
      <c r="J17" s="27">
        <v>99.969996999699973</v>
      </c>
      <c r="K17" s="27">
        <v>99.96</v>
      </c>
      <c r="L17" s="27">
        <v>99.949989997999609</v>
      </c>
      <c r="M17" s="27">
        <v>99.869960988296484</v>
      </c>
      <c r="N17" s="27">
        <v>99.77997799779979</v>
      </c>
      <c r="O17" s="27">
        <v>99.799959991998392</v>
      </c>
      <c r="P17" s="27">
        <v>99.739973997399758</v>
      </c>
    </row>
    <row r="18" spans="1:16" x14ac:dyDescent="0.25">
      <c r="A18" s="2">
        <v>16</v>
      </c>
      <c r="B18" s="27">
        <f t="shared" si="0"/>
        <v>98.819945983795137</v>
      </c>
      <c r="C18" s="27">
        <v>99.819945983795137</v>
      </c>
      <c r="D18" s="27">
        <v>99.909981996399281</v>
      </c>
      <c r="E18" s="27">
        <v>99.82993197278914</v>
      </c>
      <c r="F18" s="27">
        <v>99.859957987396214</v>
      </c>
      <c r="G18" s="27">
        <v>99.909981996399281</v>
      </c>
      <c r="H18" s="27">
        <v>99.849969993998798</v>
      </c>
      <c r="I18" s="27">
        <v>99.899989998999914</v>
      </c>
      <c r="J18" s="27">
        <v>99.819981998199836</v>
      </c>
      <c r="K18" s="27">
        <v>99.8</v>
      </c>
      <c r="L18" s="27">
        <v>99.829965993198641</v>
      </c>
      <c r="M18" s="27">
        <v>99.649894968490543</v>
      </c>
      <c r="N18" s="27">
        <v>99.539953995399557</v>
      </c>
      <c r="O18" s="27">
        <v>99.579915983196642</v>
      </c>
      <c r="P18" s="27">
        <v>99.50995099509953</v>
      </c>
    </row>
    <row r="19" spans="1:16" x14ac:dyDescent="0.25">
      <c r="A19" s="2">
        <v>17</v>
      </c>
      <c r="B19" s="27">
        <f t="shared" si="0"/>
        <v>98.489846954086218</v>
      </c>
      <c r="C19" s="27">
        <v>99.489846954086218</v>
      </c>
      <c r="D19" s="27">
        <v>99.699939987997595</v>
      </c>
      <c r="E19" s="27">
        <v>99.569827931172483</v>
      </c>
      <c r="F19" s="27">
        <v>99.619885965789734</v>
      </c>
      <c r="G19" s="27">
        <v>99.719943988797752</v>
      </c>
      <c r="H19" s="27">
        <v>99.64992998599719</v>
      </c>
      <c r="I19" s="27">
        <v>99.709970997099731</v>
      </c>
      <c r="J19" s="27">
        <v>99.629962996299653</v>
      </c>
      <c r="K19" s="27">
        <v>99.58</v>
      </c>
      <c r="L19" s="27">
        <v>99.599919983996799</v>
      </c>
      <c r="M19" s="27">
        <v>99.399819945983793</v>
      </c>
      <c r="N19" s="27">
        <v>99.289928992899306</v>
      </c>
      <c r="O19" s="27">
        <v>99.309861972394486</v>
      </c>
      <c r="P19" s="27">
        <v>99.269926992699283</v>
      </c>
    </row>
    <row r="20" spans="1:16" x14ac:dyDescent="0.25">
      <c r="A20" s="2">
        <v>18</v>
      </c>
      <c r="B20" s="27">
        <f t="shared" si="0"/>
        <v>98.099729918975683</v>
      </c>
      <c r="C20" s="27">
        <v>99.099729918975683</v>
      </c>
      <c r="D20" s="27">
        <v>99.399879975995191</v>
      </c>
      <c r="E20" s="27">
        <v>99.259703881552639</v>
      </c>
      <c r="F20" s="27">
        <v>99.329798939681893</v>
      </c>
      <c r="G20" s="27">
        <v>99.409881976395269</v>
      </c>
      <c r="H20" s="27">
        <v>99.399879975995191</v>
      </c>
      <c r="I20" s="27">
        <v>99.399939993999411</v>
      </c>
      <c r="J20" s="27">
        <v>99.369936993699383</v>
      </c>
      <c r="K20" s="27">
        <v>99.3</v>
      </c>
      <c r="L20" s="27">
        <v>99.289857971594316</v>
      </c>
      <c r="M20" s="27">
        <v>99.109732919875952</v>
      </c>
      <c r="N20" s="27">
        <v>99.019901990199045</v>
      </c>
      <c r="O20" s="27">
        <v>99.039807961592317</v>
      </c>
      <c r="P20" s="27">
        <v>99.039903990399054</v>
      </c>
    </row>
    <row r="21" spans="1:16" x14ac:dyDescent="0.25">
      <c r="A21" s="2">
        <v>19</v>
      </c>
      <c r="B21" s="27">
        <f t="shared" si="0"/>
        <v>97.689606882064609</v>
      </c>
      <c r="C21" s="27">
        <v>98.689606882064609</v>
      </c>
      <c r="D21" s="27">
        <v>99.049809961992395</v>
      </c>
      <c r="E21" s="27">
        <v>98.899559823929593</v>
      </c>
      <c r="F21" s="27">
        <v>98.999699909972989</v>
      </c>
      <c r="G21" s="27">
        <v>99.049809961992395</v>
      </c>
      <c r="H21" s="27">
        <v>99.099819963992786</v>
      </c>
      <c r="I21" s="27">
        <v>99.029902990299036</v>
      </c>
      <c r="J21" s="27">
        <v>99.049904990499073</v>
      </c>
      <c r="K21" s="27">
        <v>98.98</v>
      </c>
      <c r="L21" s="27">
        <v>98.959791958391676</v>
      </c>
      <c r="M21" s="27">
        <v>98.809642892867856</v>
      </c>
      <c r="N21" s="27">
        <v>98.719871987198729</v>
      </c>
      <c r="O21" s="27">
        <v>98.739747949589912</v>
      </c>
      <c r="P21" s="27">
        <v>98.789878987898803</v>
      </c>
    </row>
    <row r="22" spans="1:16" x14ac:dyDescent="0.25">
      <c r="A22" s="2">
        <v>20</v>
      </c>
      <c r="B22" s="27">
        <f t="shared" si="0"/>
        <v>97.249474842452727</v>
      </c>
      <c r="C22" s="27">
        <v>98.249474842452727</v>
      </c>
      <c r="D22" s="27">
        <v>98.639727945589115</v>
      </c>
      <c r="E22" s="27">
        <v>98.489395758303345</v>
      </c>
      <c r="F22" s="27">
        <v>98.619585875762724</v>
      </c>
      <c r="G22" s="27">
        <v>98.659731946389272</v>
      </c>
      <c r="H22" s="27">
        <v>98.739747949589912</v>
      </c>
      <c r="I22" s="27">
        <v>98.629862986298647</v>
      </c>
      <c r="J22" s="27">
        <v>98.679867986798698</v>
      </c>
      <c r="K22" s="27">
        <v>98.64</v>
      </c>
      <c r="L22" s="27">
        <v>98.619723944788944</v>
      </c>
      <c r="M22" s="27">
        <v>98.499549864959477</v>
      </c>
      <c r="N22" s="27">
        <v>98.409840984098423</v>
      </c>
      <c r="O22" s="27">
        <v>98.409681936387273</v>
      </c>
      <c r="P22" s="27">
        <v>98.489848984898501</v>
      </c>
    </row>
    <row r="23" spans="1:16" x14ac:dyDescent="0.25">
      <c r="A23" s="2">
        <v>21</v>
      </c>
      <c r="B23" s="27">
        <f t="shared" si="0"/>
        <v>96.769330799239754</v>
      </c>
      <c r="C23" s="27">
        <v>97.769330799239754</v>
      </c>
      <c r="D23" s="27">
        <v>98.159631926385273</v>
      </c>
      <c r="E23" s="27">
        <v>98.039215686274531</v>
      </c>
      <c r="F23" s="27">
        <v>98.189456837051111</v>
      </c>
      <c r="G23" s="27">
        <v>98.239647929585914</v>
      </c>
      <c r="H23" s="27">
        <v>98.339667933586711</v>
      </c>
      <c r="I23" s="27">
        <v>98.249824982498254</v>
      </c>
      <c r="J23" s="27">
        <v>98.2898289828983</v>
      </c>
      <c r="K23" s="27">
        <v>98.27</v>
      </c>
      <c r="L23" s="27">
        <v>98.269653930786149</v>
      </c>
      <c r="M23" s="27">
        <v>98.169450835250572</v>
      </c>
      <c r="N23" s="27">
        <v>98.059805980598071</v>
      </c>
      <c r="O23" s="27">
        <v>98.069613922784555</v>
      </c>
      <c r="P23" s="27">
        <v>98.159815981598186</v>
      </c>
    </row>
    <row r="24" spans="1:16" x14ac:dyDescent="0.25">
      <c r="A24" s="2">
        <v>22</v>
      </c>
      <c r="B24" s="27">
        <f t="shared" si="0"/>
        <v>96.239171751525447</v>
      </c>
      <c r="C24" s="27">
        <v>97.239171751525447</v>
      </c>
      <c r="D24" s="27">
        <v>97.619523904780948</v>
      </c>
      <c r="E24" s="27">
        <v>97.559023609443784</v>
      </c>
      <c r="F24" s="27">
        <v>97.789336801040307</v>
      </c>
      <c r="G24" s="27">
        <v>97.799559911982399</v>
      </c>
      <c r="H24" s="27">
        <v>97.939587917583509</v>
      </c>
      <c r="I24" s="27">
        <v>97.869786978697888</v>
      </c>
      <c r="J24" s="27">
        <v>97.889788978897897</v>
      </c>
      <c r="K24" s="27">
        <v>97.89</v>
      </c>
      <c r="L24" s="27">
        <v>97.919583916783353</v>
      </c>
      <c r="M24" s="27">
        <v>97.809342802840845</v>
      </c>
      <c r="N24" s="27">
        <v>97.68976897689771</v>
      </c>
      <c r="O24" s="27">
        <v>97.729545909181823</v>
      </c>
      <c r="P24" s="27">
        <v>97.819781978197838</v>
      </c>
    </row>
    <row r="25" spans="1:16" x14ac:dyDescent="0.25">
      <c r="A25" s="2">
        <v>23</v>
      </c>
      <c r="B25" s="27">
        <f t="shared" si="0"/>
        <v>95.679003701110332</v>
      </c>
      <c r="C25" s="27">
        <v>96.679003701110332</v>
      </c>
      <c r="D25" s="27">
        <v>97.069413882776544</v>
      </c>
      <c r="E25" s="27">
        <v>97.0888355342137</v>
      </c>
      <c r="F25" s="27">
        <v>97.379213764129233</v>
      </c>
      <c r="G25" s="27">
        <v>97.359471894378871</v>
      </c>
      <c r="H25" s="27">
        <v>97.529505901180244</v>
      </c>
      <c r="I25" s="27">
        <v>97.469746974697472</v>
      </c>
      <c r="J25" s="27">
        <v>97.47974797479749</v>
      </c>
      <c r="K25" s="27">
        <v>97.52</v>
      </c>
      <c r="L25" s="27">
        <v>97.559511902380478</v>
      </c>
      <c r="M25" s="27">
        <v>97.449234770431119</v>
      </c>
      <c r="N25" s="27">
        <v>97.32973297329734</v>
      </c>
      <c r="O25" s="27">
        <v>97.399479895979184</v>
      </c>
      <c r="P25" s="27">
        <v>97.489748974897509</v>
      </c>
    </row>
    <row r="26" spans="1:16" x14ac:dyDescent="0.25">
      <c r="A26" s="2">
        <v>24</v>
      </c>
      <c r="B26" s="27">
        <f t="shared" si="0"/>
        <v>95.09882964889465</v>
      </c>
      <c r="C26" s="27">
        <v>96.09882964889465</v>
      </c>
      <c r="D26" s="27">
        <v>96.499299859971998</v>
      </c>
      <c r="E26" s="27">
        <v>96.628651460584251</v>
      </c>
      <c r="F26" s="27">
        <v>96.909072721816528</v>
      </c>
      <c r="G26" s="27">
        <v>96.929385877175434</v>
      </c>
      <c r="H26" s="27">
        <v>97.099419883976793</v>
      </c>
      <c r="I26" s="27">
        <v>97.019701970197033</v>
      </c>
      <c r="J26" s="27">
        <v>97.089708970897107</v>
      </c>
      <c r="K26" s="27">
        <v>97.14</v>
      </c>
      <c r="L26" s="27">
        <v>97.179435887177434</v>
      </c>
      <c r="M26" s="27">
        <v>97.099129738921661</v>
      </c>
      <c r="N26" s="27">
        <v>96.989698969897006</v>
      </c>
      <c r="O26" s="27">
        <v>97.079415883176637</v>
      </c>
      <c r="P26" s="27">
        <v>97.149714971497161</v>
      </c>
    </row>
    <row r="27" spans="1:16" x14ac:dyDescent="0.25">
      <c r="A27" s="2">
        <v>25</v>
      </c>
      <c r="B27" s="27">
        <f t="shared" si="0"/>
        <v>94.528658597579266</v>
      </c>
      <c r="C27" s="27">
        <v>95.528658597579266</v>
      </c>
      <c r="D27" s="27">
        <v>95.939187837567516</v>
      </c>
      <c r="E27" s="27">
        <v>96.158463385354167</v>
      </c>
      <c r="F27" s="27">
        <v>96.388916675002491</v>
      </c>
      <c r="G27" s="27">
        <v>96.489297859571906</v>
      </c>
      <c r="H27" s="27">
        <v>96.649329865973186</v>
      </c>
      <c r="I27" s="27">
        <v>96.579657965796585</v>
      </c>
      <c r="J27" s="27">
        <v>96.709670967096727</v>
      </c>
      <c r="K27" s="27">
        <v>96.74</v>
      </c>
      <c r="L27" s="27">
        <v>96.78935787157431</v>
      </c>
      <c r="M27" s="27">
        <v>96.729018705611679</v>
      </c>
      <c r="N27" s="27">
        <v>96.649664966496658</v>
      </c>
      <c r="O27" s="27">
        <v>96.759351870374061</v>
      </c>
      <c r="P27" s="27">
        <v>96.829682968296837</v>
      </c>
    </row>
    <row r="28" spans="1:16" x14ac:dyDescent="0.25">
      <c r="A28" s="2">
        <v>26</v>
      </c>
      <c r="B28" s="27">
        <f t="shared" si="0"/>
        <v>93.968490547164137</v>
      </c>
      <c r="C28" s="27">
        <v>94.968490547164137</v>
      </c>
      <c r="D28" s="27">
        <v>95.429085817163426</v>
      </c>
      <c r="E28" s="27">
        <v>95.638255302120854</v>
      </c>
      <c r="F28" s="27">
        <v>95.878763629088709</v>
      </c>
      <c r="G28" s="27">
        <v>96.069213842768548</v>
      </c>
      <c r="H28" s="27">
        <v>96.179235847169423</v>
      </c>
      <c r="I28" s="27">
        <v>96.159615961596174</v>
      </c>
      <c r="J28" s="27">
        <v>96.289628962896302</v>
      </c>
      <c r="K28" s="27">
        <v>96.34</v>
      </c>
      <c r="L28" s="27">
        <v>96.419283856771358</v>
      </c>
      <c r="M28" s="27">
        <v>96.348904671401414</v>
      </c>
      <c r="N28" s="27">
        <v>96.29962996299632</v>
      </c>
      <c r="O28" s="27">
        <v>96.419283856771358</v>
      </c>
      <c r="P28" s="27">
        <v>96.509650965096526</v>
      </c>
    </row>
    <row r="29" spans="1:16" x14ac:dyDescent="0.25">
      <c r="A29" s="2">
        <v>27</v>
      </c>
      <c r="B29" s="27">
        <f t="shared" si="0"/>
        <v>93.418325497649292</v>
      </c>
      <c r="C29" s="27">
        <v>94.418325497649292</v>
      </c>
      <c r="D29" s="27">
        <v>94.948989797959598</v>
      </c>
      <c r="E29" s="27">
        <v>95.098039215686285</v>
      </c>
      <c r="F29" s="27">
        <v>95.38861658497548</v>
      </c>
      <c r="G29" s="27">
        <v>95.619123824764941</v>
      </c>
      <c r="H29" s="27">
        <v>95.719143828765752</v>
      </c>
      <c r="I29" s="27">
        <v>95.709570957095721</v>
      </c>
      <c r="J29" s="27">
        <v>95.839583958395849</v>
      </c>
      <c r="K29" s="27">
        <v>95.92</v>
      </c>
      <c r="L29" s="27">
        <v>96.069213842768548</v>
      </c>
      <c r="M29" s="27">
        <v>95.978793638091418</v>
      </c>
      <c r="N29" s="27">
        <v>95.929592959295945</v>
      </c>
      <c r="O29" s="27">
        <v>96.05921184236847</v>
      </c>
      <c r="P29" s="27">
        <v>96.159615961596174</v>
      </c>
    </row>
    <row r="30" spans="1:16" x14ac:dyDescent="0.25">
      <c r="A30" s="2">
        <v>28</v>
      </c>
      <c r="B30" s="27">
        <f t="shared" si="0"/>
        <v>92.868160448134432</v>
      </c>
      <c r="C30" s="27">
        <v>93.868160448134432</v>
      </c>
      <c r="D30" s="27">
        <v>94.458891778355664</v>
      </c>
      <c r="E30" s="27">
        <v>94.567827130852351</v>
      </c>
      <c r="F30" s="27">
        <v>94.908472541762521</v>
      </c>
      <c r="G30" s="27">
        <v>95.139027805561113</v>
      </c>
      <c r="H30" s="27">
        <v>95.259051810362067</v>
      </c>
      <c r="I30" s="27">
        <v>95.23952395239526</v>
      </c>
      <c r="J30" s="27">
        <v>95.389538953895396</v>
      </c>
      <c r="K30" s="27">
        <v>95.5</v>
      </c>
      <c r="L30" s="27">
        <v>95.689137827565517</v>
      </c>
      <c r="M30" s="27">
        <v>95.608682604781421</v>
      </c>
      <c r="N30" s="27">
        <v>95.569556955695589</v>
      </c>
      <c r="O30" s="27">
        <v>95.689137827565517</v>
      </c>
      <c r="P30" s="27">
        <v>95.789578957895799</v>
      </c>
    </row>
    <row r="31" spans="1:16" x14ac:dyDescent="0.25">
      <c r="A31" s="2">
        <v>29</v>
      </c>
      <c r="B31" s="27">
        <f t="shared" si="0"/>
        <v>92.307992397719318</v>
      </c>
      <c r="C31" s="27">
        <v>93.307992397719318</v>
      </c>
      <c r="D31" s="27">
        <v>93.90878175635126</v>
      </c>
      <c r="E31" s="27">
        <v>94.087635054021618</v>
      </c>
      <c r="F31" s="27">
        <v>94.398319495848753</v>
      </c>
      <c r="G31" s="27">
        <v>94.648929785957179</v>
      </c>
      <c r="H31" s="27">
        <v>94.808961792358474</v>
      </c>
      <c r="I31" s="27">
        <v>94.829482948294839</v>
      </c>
      <c r="J31" s="27">
        <v>94.949494949494962</v>
      </c>
      <c r="K31" s="27">
        <v>95.08</v>
      </c>
      <c r="L31" s="27">
        <v>95.279055811162237</v>
      </c>
      <c r="M31" s="27">
        <v>95.22856857057117</v>
      </c>
      <c r="N31" s="27">
        <v>95.199519951995214</v>
      </c>
      <c r="O31" s="27">
        <v>95.359071814362878</v>
      </c>
      <c r="P31" s="27">
        <v>95.45954595459547</v>
      </c>
    </row>
    <row r="32" spans="1:16" x14ac:dyDescent="0.25">
      <c r="A32" s="2">
        <v>30</v>
      </c>
      <c r="B32" s="27">
        <f t="shared" si="0"/>
        <v>91.747824347304189</v>
      </c>
      <c r="C32" s="27">
        <v>92.747824347304189</v>
      </c>
      <c r="D32" s="27">
        <v>93.288657731546294</v>
      </c>
      <c r="E32" s="27">
        <v>93.617446978791534</v>
      </c>
      <c r="F32" s="27">
        <v>93.858157447234163</v>
      </c>
      <c r="G32" s="27">
        <v>94.198839767953586</v>
      </c>
      <c r="H32" s="27">
        <v>94.348869773954789</v>
      </c>
      <c r="I32" s="27">
        <v>94.419441944194432</v>
      </c>
      <c r="J32" s="27">
        <v>94.489448944894505</v>
      </c>
      <c r="K32" s="27">
        <v>94.67</v>
      </c>
      <c r="L32" s="27">
        <v>94.868973794758944</v>
      </c>
      <c r="M32" s="27">
        <v>94.868460538161443</v>
      </c>
      <c r="N32" s="27">
        <v>94.829482948294839</v>
      </c>
      <c r="O32" s="27">
        <v>95.019003800760146</v>
      </c>
      <c r="P32" s="27">
        <v>95.159515951595182</v>
      </c>
    </row>
    <row r="33" spans="1:16" x14ac:dyDescent="0.25">
      <c r="A33" s="2">
        <v>31</v>
      </c>
      <c r="B33" s="27">
        <f t="shared" si="0"/>
        <v>91.167650295088521</v>
      </c>
      <c r="C33" s="27">
        <v>92.167650295088521</v>
      </c>
      <c r="D33" s="27">
        <v>92.708541708341656</v>
      </c>
      <c r="E33" s="27">
        <v>93.127250900360167</v>
      </c>
      <c r="F33" s="27">
        <v>93.358007402220665</v>
      </c>
      <c r="G33" s="27">
        <v>93.758751750350058</v>
      </c>
      <c r="H33" s="27">
        <v>93.888777755551104</v>
      </c>
      <c r="I33" s="27">
        <v>93.979397939793998</v>
      </c>
      <c r="J33" s="27">
        <v>94.06940694069408</v>
      </c>
      <c r="K33" s="27">
        <v>94.26</v>
      </c>
      <c r="L33" s="27">
        <v>94.458891778355664</v>
      </c>
      <c r="M33" s="27">
        <v>94.518355506651986</v>
      </c>
      <c r="N33" s="27">
        <v>94.479447944794487</v>
      </c>
      <c r="O33" s="27">
        <v>94.658931786357272</v>
      </c>
      <c r="P33" s="27">
        <v>94.839483948394857</v>
      </c>
    </row>
    <row r="34" spans="1:16" x14ac:dyDescent="0.25">
      <c r="A34" s="2">
        <v>32</v>
      </c>
      <c r="B34" s="27">
        <f t="shared" si="0"/>
        <v>90.577473241972584</v>
      </c>
      <c r="C34" s="27">
        <v>91.577473241972584</v>
      </c>
      <c r="D34" s="27">
        <v>92.198439687937594</v>
      </c>
      <c r="E34" s="27">
        <v>92.617046818727502</v>
      </c>
      <c r="F34" s="27">
        <v>92.917875362608783</v>
      </c>
      <c r="G34" s="27">
        <v>93.27865573114623</v>
      </c>
      <c r="H34" s="27">
        <v>93.438687737547511</v>
      </c>
      <c r="I34" s="27">
        <v>93.529352935293545</v>
      </c>
      <c r="J34" s="27">
        <v>93.669366936693677</v>
      </c>
      <c r="K34" s="27">
        <v>93.84</v>
      </c>
      <c r="L34" s="27">
        <v>94.068813762752541</v>
      </c>
      <c r="M34" s="27">
        <v>94.148244473342004</v>
      </c>
      <c r="N34" s="27">
        <v>94.149414941494157</v>
      </c>
      <c r="O34" s="27">
        <v>94.298859771954383</v>
      </c>
      <c r="P34" s="27">
        <v>94.489448944894505</v>
      </c>
    </row>
    <row r="35" spans="1:16" x14ac:dyDescent="0.25">
      <c r="A35" s="2">
        <v>33</v>
      </c>
      <c r="B35" s="27">
        <f t="shared" si="0"/>
        <v>89.987296188856646</v>
      </c>
      <c r="C35" s="27">
        <v>90.987296188856646</v>
      </c>
      <c r="D35" s="27">
        <v>91.708341668333659</v>
      </c>
      <c r="E35" s="27">
        <v>92.116846738695486</v>
      </c>
      <c r="F35" s="27">
        <v>92.477743322996901</v>
      </c>
      <c r="G35" s="27">
        <v>92.778555711142232</v>
      </c>
      <c r="H35" s="27">
        <v>92.998599719943982</v>
      </c>
      <c r="I35" s="27">
        <v>93.089308930893097</v>
      </c>
      <c r="J35" s="27">
        <v>93.279327932793294</v>
      </c>
      <c r="K35" s="27">
        <v>93.42</v>
      </c>
      <c r="L35" s="27">
        <v>93.698739747949588</v>
      </c>
      <c r="M35" s="27">
        <v>93.758127438231469</v>
      </c>
      <c r="N35" s="27">
        <v>93.809380938093824</v>
      </c>
      <c r="O35" s="27">
        <v>93.958791758351666</v>
      </c>
      <c r="P35" s="27">
        <v>94.139413941394153</v>
      </c>
    </row>
    <row r="36" spans="1:16" x14ac:dyDescent="0.25">
      <c r="A36" s="2">
        <v>34</v>
      </c>
      <c r="B36" s="27">
        <f t="shared" si="0"/>
        <v>89.397119135740724</v>
      </c>
      <c r="C36" s="27">
        <v>90.397119135740724</v>
      </c>
      <c r="D36" s="27">
        <v>91.158231646329256</v>
      </c>
      <c r="E36" s="27">
        <v>91.586634653861552</v>
      </c>
      <c r="F36" s="27">
        <v>91.987596278883657</v>
      </c>
      <c r="G36" s="27">
        <v>92.29845969193839</v>
      </c>
      <c r="H36" s="27">
        <v>92.558511702340468</v>
      </c>
      <c r="I36" s="27">
        <v>92.659265926592681</v>
      </c>
      <c r="J36" s="27">
        <v>92.869286928692887</v>
      </c>
      <c r="K36" s="27">
        <v>93.02</v>
      </c>
      <c r="L36" s="27">
        <v>93.318663732746543</v>
      </c>
      <c r="M36" s="27">
        <v>93.388016404921473</v>
      </c>
      <c r="N36" s="27">
        <v>93.439343934393463</v>
      </c>
      <c r="O36" s="27">
        <v>93.60872174434887</v>
      </c>
      <c r="P36" s="27">
        <v>93.809380938093824</v>
      </c>
    </row>
    <row r="37" spans="1:16" x14ac:dyDescent="0.25">
      <c r="A37" s="2">
        <v>35</v>
      </c>
      <c r="B37" s="27">
        <f t="shared" si="0"/>
        <v>88.816945083525056</v>
      </c>
      <c r="C37" s="27">
        <v>89.816945083525056</v>
      </c>
      <c r="D37" s="27">
        <v>90.608121624324866</v>
      </c>
      <c r="E37" s="27">
        <v>91.08643457382955</v>
      </c>
      <c r="F37" s="27">
        <v>91.457437231169351</v>
      </c>
      <c r="G37" s="27">
        <v>91.818363672734534</v>
      </c>
      <c r="H37" s="27">
        <v>92.118423684736939</v>
      </c>
      <c r="I37" s="27">
        <v>92.219221922192219</v>
      </c>
      <c r="J37" s="27">
        <v>92.439243924392457</v>
      </c>
      <c r="K37" s="27">
        <v>92.65</v>
      </c>
      <c r="L37" s="27">
        <v>92.918583716743356</v>
      </c>
      <c r="M37" s="27">
        <v>93.017905371611477</v>
      </c>
      <c r="N37" s="27">
        <v>93.049304930493065</v>
      </c>
      <c r="O37" s="27">
        <v>93.238647729545903</v>
      </c>
      <c r="P37" s="27">
        <v>93.469346934693476</v>
      </c>
    </row>
    <row r="38" spans="1:16" x14ac:dyDescent="0.25">
      <c r="A38" s="2">
        <v>36</v>
      </c>
      <c r="B38" s="27">
        <f t="shared" si="0"/>
        <v>88.246774032209657</v>
      </c>
      <c r="C38" s="27">
        <v>89.246774032209657</v>
      </c>
      <c r="D38" s="27">
        <v>90.078015603120619</v>
      </c>
      <c r="E38" s="27">
        <v>90.616246498599452</v>
      </c>
      <c r="F38" s="27">
        <v>90.947284185255569</v>
      </c>
      <c r="G38" s="27">
        <v>91.338267653530693</v>
      </c>
      <c r="H38" s="27">
        <v>91.648329665933176</v>
      </c>
      <c r="I38" s="27">
        <v>91.759175917591776</v>
      </c>
      <c r="J38" s="27">
        <v>92.009200920092027</v>
      </c>
      <c r="K38" s="27">
        <v>92.27</v>
      </c>
      <c r="L38" s="27">
        <v>92.538507701540297</v>
      </c>
      <c r="M38" s="27">
        <v>92.647794338301495</v>
      </c>
      <c r="N38" s="27">
        <v>92.669266926692686</v>
      </c>
      <c r="O38" s="27">
        <v>92.888577715543107</v>
      </c>
      <c r="P38" s="27">
        <v>93.119311931193138</v>
      </c>
    </row>
    <row r="39" spans="1:16" x14ac:dyDescent="0.25">
      <c r="A39" s="2">
        <v>37</v>
      </c>
      <c r="B39" s="27">
        <f t="shared" si="0"/>
        <v>87.686605981794528</v>
      </c>
      <c r="C39" s="27">
        <v>88.686605981794528</v>
      </c>
      <c r="D39" s="27">
        <v>89.577915583116621</v>
      </c>
      <c r="E39" s="27">
        <v>90.146058423369368</v>
      </c>
      <c r="F39" s="27">
        <v>90.487146143843134</v>
      </c>
      <c r="G39" s="27">
        <v>90.868173634726929</v>
      </c>
      <c r="H39" s="27">
        <v>91.178235647129412</v>
      </c>
      <c r="I39" s="27">
        <v>91.279127912791282</v>
      </c>
      <c r="J39" s="27">
        <v>91.589158915891602</v>
      </c>
      <c r="K39" s="27">
        <v>91.88</v>
      </c>
      <c r="L39" s="27">
        <v>92.158431686337266</v>
      </c>
      <c r="M39" s="27">
        <v>92.247674302290676</v>
      </c>
      <c r="N39" s="27">
        <v>92.309230923092315</v>
      </c>
      <c r="O39" s="27">
        <v>92.54850970194039</v>
      </c>
      <c r="P39" s="27">
        <v>92.779277927792791</v>
      </c>
    </row>
    <row r="40" spans="1:16" x14ac:dyDescent="0.25">
      <c r="A40" s="2">
        <v>38</v>
      </c>
      <c r="B40" s="27">
        <f t="shared" si="0"/>
        <v>87.1264379313794</v>
      </c>
      <c r="C40" s="27">
        <v>88.1264379313794</v>
      </c>
      <c r="D40" s="27">
        <v>89.06781356271253</v>
      </c>
      <c r="E40" s="27">
        <v>89.665866346538621</v>
      </c>
      <c r="F40" s="27">
        <v>90.037011103330997</v>
      </c>
      <c r="G40" s="27">
        <v>90.408081616323258</v>
      </c>
      <c r="H40" s="27">
        <v>90.708141628325663</v>
      </c>
      <c r="I40" s="27">
        <v>90.819081908190839</v>
      </c>
      <c r="J40" s="27">
        <v>91.159115911591172</v>
      </c>
      <c r="K40" s="27">
        <v>91.46</v>
      </c>
      <c r="L40" s="27">
        <v>91.758351670334051</v>
      </c>
      <c r="M40" s="27">
        <v>91.847554266279872</v>
      </c>
      <c r="N40" s="27">
        <v>91.959195919591977</v>
      </c>
      <c r="O40" s="27">
        <v>92.188437687537501</v>
      </c>
      <c r="P40" s="27">
        <v>92.439243924392457</v>
      </c>
    </row>
    <row r="41" spans="1:16" x14ac:dyDescent="0.25">
      <c r="A41" s="2">
        <v>39</v>
      </c>
      <c r="B41" s="27">
        <f t="shared" si="0"/>
        <v>86.576272881864554</v>
      </c>
      <c r="C41" s="27">
        <v>87.576272881864554</v>
      </c>
      <c r="D41" s="27">
        <v>88.557711542308468</v>
      </c>
      <c r="E41" s="27">
        <v>89.155662264905985</v>
      </c>
      <c r="F41" s="27">
        <v>89.566870061018307</v>
      </c>
      <c r="G41" s="27">
        <v>89.957991598319651</v>
      </c>
      <c r="H41" s="27">
        <v>90.258051610322056</v>
      </c>
      <c r="I41" s="27">
        <v>90.359035903590367</v>
      </c>
      <c r="J41" s="27">
        <v>90.739073907390761</v>
      </c>
      <c r="K41" s="27">
        <v>91.04</v>
      </c>
      <c r="L41" s="27">
        <v>91.368273654730942</v>
      </c>
      <c r="M41" s="27">
        <v>91.467440232069606</v>
      </c>
      <c r="N41" s="27">
        <v>91.609160916091611</v>
      </c>
      <c r="O41" s="27">
        <v>91.838367673534691</v>
      </c>
      <c r="P41" s="27">
        <v>92.109210921092114</v>
      </c>
    </row>
    <row r="42" spans="1:16" x14ac:dyDescent="0.25">
      <c r="A42" s="2">
        <v>40</v>
      </c>
      <c r="B42" s="27">
        <f t="shared" si="0"/>
        <v>86.016104831449425</v>
      </c>
      <c r="C42" s="27">
        <v>87.016104831449425</v>
      </c>
      <c r="D42" s="27">
        <v>88.017603520704142</v>
      </c>
      <c r="E42" s="27">
        <v>88.585434173669483</v>
      </c>
      <c r="F42" s="27">
        <v>89.096729018705602</v>
      </c>
      <c r="G42" s="27">
        <v>89.507901580316059</v>
      </c>
      <c r="H42" s="27">
        <v>89.817963592718542</v>
      </c>
      <c r="I42" s="27">
        <v>89.928992899289938</v>
      </c>
      <c r="J42" s="27">
        <v>90.309030903090317</v>
      </c>
      <c r="K42" s="27">
        <v>90.61</v>
      </c>
      <c r="L42" s="27">
        <v>90.988197639527897</v>
      </c>
      <c r="M42" s="27">
        <v>91.107332199659893</v>
      </c>
      <c r="N42" s="27">
        <v>91.249124912491254</v>
      </c>
      <c r="O42" s="27">
        <v>91.468293658731739</v>
      </c>
      <c r="P42" s="27">
        <v>91.759175917591776</v>
      </c>
    </row>
    <row r="43" spans="1:16" x14ac:dyDescent="0.25">
      <c r="A43" s="2">
        <v>41</v>
      </c>
      <c r="B43" s="27">
        <f t="shared" si="0"/>
        <v>85.45593678103431</v>
      </c>
      <c r="C43" s="27">
        <v>86.45593678103431</v>
      </c>
      <c r="D43" s="27">
        <v>87.447489497899582</v>
      </c>
      <c r="E43" s="27">
        <v>88.045218087234915</v>
      </c>
      <c r="F43" s="27">
        <v>88.616584975492643</v>
      </c>
      <c r="G43" s="27">
        <v>89.037807561512295</v>
      </c>
      <c r="H43" s="27">
        <v>89.377875575115013</v>
      </c>
      <c r="I43" s="27">
        <v>89.498949894989508</v>
      </c>
      <c r="J43" s="27">
        <v>89.888988898889892</v>
      </c>
      <c r="K43" s="27">
        <v>90.2</v>
      </c>
      <c r="L43" s="27">
        <v>90.578115623124617</v>
      </c>
      <c r="M43" s="27">
        <v>90.727218165449628</v>
      </c>
      <c r="N43" s="27">
        <v>90.909090909090921</v>
      </c>
      <c r="O43" s="27">
        <v>91.098219643928786</v>
      </c>
      <c r="P43" s="27">
        <v>91.399139913991419</v>
      </c>
    </row>
    <row r="44" spans="1:16" x14ac:dyDescent="0.25">
      <c r="A44" s="2">
        <v>42</v>
      </c>
      <c r="B44" s="27">
        <f t="shared" si="0"/>
        <v>84.895768730619181</v>
      </c>
      <c r="C44" s="27">
        <v>85.895768730619181</v>
      </c>
      <c r="D44" s="27">
        <v>86.8873774754951</v>
      </c>
      <c r="E44" s="27">
        <v>87.525010004001615</v>
      </c>
      <c r="F44" s="27">
        <v>88.106431929578861</v>
      </c>
      <c r="G44" s="27">
        <v>88.547709541908375</v>
      </c>
      <c r="H44" s="27">
        <v>88.92778555711142</v>
      </c>
      <c r="I44" s="27">
        <v>89.078907890789083</v>
      </c>
      <c r="J44" s="27">
        <v>89.488948894889504</v>
      </c>
      <c r="K44" s="27">
        <v>89.78</v>
      </c>
      <c r="L44" s="27">
        <v>90.148029605921181</v>
      </c>
      <c r="M44" s="27">
        <v>90.337101130339093</v>
      </c>
      <c r="N44" s="27">
        <v>90.559055905590569</v>
      </c>
      <c r="O44" s="27">
        <v>90.738147629525898</v>
      </c>
      <c r="P44" s="27">
        <v>91.059105910591072</v>
      </c>
    </row>
    <row r="45" spans="1:16" x14ac:dyDescent="0.25">
      <c r="A45" s="2">
        <v>43</v>
      </c>
      <c r="B45" s="27">
        <f t="shared" si="0"/>
        <v>84.335600680204053</v>
      </c>
      <c r="C45" s="27">
        <v>85.335600680204053</v>
      </c>
      <c r="D45" s="27">
        <v>86.367273454690931</v>
      </c>
      <c r="E45" s="27">
        <v>87.014805922368964</v>
      </c>
      <c r="F45" s="27">
        <v>87.616284885465632</v>
      </c>
      <c r="G45" s="27">
        <v>88.05761152230447</v>
      </c>
      <c r="H45" s="27">
        <v>88.477695539107813</v>
      </c>
      <c r="I45" s="27">
        <v>88.638863886388648</v>
      </c>
      <c r="J45" s="27">
        <v>89.058905890589074</v>
      </c>
      <c r="K45" s="27">
        <v>89.38</v>
      </c>
      <c r="L45" s="27">
        <v>89.757951590318058</v>
      </c>
      <c r="M45" s="27">
        <v>89.97699309792938</v>
      </c>
      <c r="N45" s="27">
        <v>90.189018901890208</v>
      </c>
      <c r="O45" s="27">
        <v>90.388077615523102</v>
      </c>
      <c r="P45" s="27">
        <v>90.729072907290742</v>
      </c>
    </row>
    <row r="46" spans="1:16" x14ac:dyDescent="0.25">
      <c r="A46" s="2">
        <v>44</v>
      </c>
      <c r="B46" s="27">
        <f t="shared" si="0"/>
        <v>83.795438631589462</v>
      </c>
      <c r="C46" s="27">
        <v>84.795438631589462</v>
      </c>
      <c r="D46" s="27">
        <v>85.847169433886776</v>
      </c>
      <c r="E46" s="27">
        <v>86.514605842336948</v>
      </c>
      <c r="F46" s="27">
        <v>87.136140842252672</v>
      </c>
      <c r="G46" s="27">
        <v>87.607521504300863</v>
      </c>
      <c r="H46" s="27">
        <v>88.017603520704142</v>
      </c>
      <c r="I46" s="27">
        <v>88.178817881788191</v>
      </c>
      <c r="J46" s="27">
        <v>88.598859885988617</v>
      </c>
      <c r="K46" s="27">
        <v>88.99</v>
      </c>
      <c r="L46" s="27">
        <v>89.387877575515105</v>
      </c>
      <c r="M46" s="27">
        <v>89.626888066419909</v>
      </c>
      <c r="N46" s="27">
        <v>89.798979897989824</v>
      </c>
      <c r="O46" s="27">
        <v>90.058011602320462</v>
      </c>
      <c r="P46" s="27">
        <v>90.409040904090432</v>
      </c>
    </row>
    <row r="47" spans="1:16" x14ac:dyDescent="0.25">
      <c r="A47" s="2">
        <v>45</v>
      </c>
      <c r="B47" s="27">
        <f t="shared" si="0"/>
        <v>83.265279583875156</v>
      </c>
      <c r="C47" s="27">
        <v>84.265279583875156</v>
      </c>
      <c r="D47" s="27">
        <v>85.337067413482686</v>
      </c>
      <c r="E47" s="27">
        <v>85.994397759103649</v>
      </c>
      <c r="F47" s="27">
        <v>86.645993798139443</v>
      </c>
      <c r="G47" s="27">
        <v>87.167433486697348</v>
      </c>
      <c r="H47" s="27">
        <v>87.547509501900379</v>
      </c>
      <c r="I47" s="27">
        <v>87.71877187718772</v>
      </c>
      <c r="J47" s="27">
        <v>88.158815881588183</v>
      </c>
      <c r="K47" s="27">
        <v>88.6</v>
      </c>
      <c r="L47" s="27">
        <v>88.997799559911982</v>
      </c>
      <c r="M47" s="27">
        <v>89.256777033109927</v>
      </c>
      <c r="N47" s="27">
        <v>89.438943894389453</v>
      </c>
      <c r="O47" s="27">
        <v>89.737947589517901</v>
      </c>
      <c r="P47" s="27">
        <v>90.079007900790089</v>
      </c>
    </row>
    <row r="48" spans="1:16" x14ac:dyDescent="0.25">
      <c r="A48" s="2">
        <v>46</v>
      </c>
      <c r="B48" s="27">
        <f t="shared" si="0"/>
        <v>82.72511753526058</v>
      </c>
      <c r="C48" s="27">
        <v>83.72511753526058</v>
      </c>
      <c r="D48" s="27">
        <v>84.786957391478282</v>
      </c>
      <c r="E48" s="27">
        <v>85.45418167266908</v>
      </c>
      <c r="F48" s="27">
        <v>86.185855756727008</v>
      </c>
      <c r="G48" s="27">
        <v>86.697339467893585</v>
      </c>
      <c r="H48" s="27">
        <v>87.067413482696537</v>
      </c>
      <c r="I48" s="27">
        <v>87.288728872887305</v>
      </c>
      <c r="J48" s="27">
        <v>87.748774877487762</v>
      </c>
      <c r="K48" s="27">
        <v>88.18</v>
      </c>
      <c r="L48" s="27">
        <v>88.567713542708532</v>
      </c>
      <c r="M48" s="27">
        <v>88.866659997999392</v>
      </c>
      <c r="N48" s="27">
        <v>89.068906890689078</v>
      </c>
      <c r="O48" s="27">
        <v>89.387877575515105</v>
      </c>
      <c r="P48" s="27">
        <v>89.718971897189732</v>
      </c>
    </row>
    <row r="49" spans="1:16" x14ac:dyDescent="0.25">
      <c r="A49" s="2">
        <v>47</v>
      </c>
      <c r="B49" s="27">
        <f t="shared" si="0"/>
        <v>82.18495548664599</v>
      </c>
      <c r="C49" s="27">
        <v>83.18495548664599</v>
      </c>
      <c r="D49" s="27">
        <v>84.246849369873971</v>
      </c>
      <c r="E49" s="27">
        <v>84.983993597438996</v>
      </c>
      <c r="F49" s="27">
        <v>85.715714714414318</v>
      </c>
      <c r="G49" s="27">
        <v>86.197239447889586</v>
      </c>
      <c r="H49" s="27">
        <v>86.597319463892774</v>
      </c>
      <c r="I49" s="27">
        <v>86.878687868786898</v>
      </c>
      <c r="J49" s="27">
        <v>87.348734873487359</v>
      </c>
      <c r="K49" s="27">
        <v>87.76</v>
      </c>
      <c r="L49" s="27">
        <v>88.197639527905579</v>
      </c>
      <c r="M49" s="27">
        <v>88.496548964689396</v>
      </c>
      <c r="N49" s="27">
        <v>88.688868886888713</v>
      </c>
      <c r="O49" s="27">
        <v>89.00780156031206</v>
      </c>
      <c r="P49" s="27">
        <v>89.358935893589361</v>
      </c>
    </row>
    <row r="50" spans="1:16" x14ac:dyDescent="0.25">
      <c r="A50" s="2">
        <v>48</v>
      </c>
      <c r="B50" s="27">
        <f t="shared" si="0"/>
        <v>81.63479043713113</v>
      </c>
      <c r="C50" s="27">
        <v>82.63479043713113</v>
      </c>
      <c r="D50" s="27">
        <v>83.736747349469894</v>
      </c>
      <c r="E50" s="27">
        <v>84.553821528611451</v>
      </c>
      <c r="F50" s="27">
        <v>85.20556166850055</v>
      </c>
      <c r="G50" s="27">
        <v>85.717143428685731</v>
      </c>
      <c r="H50" s="27">
        <v>86.147229445889167</v>
      </c>
      <c r="I50" s="27">
        <v>86.438643864386464</v>
      </c>
      <c r="J50" s="27">
        <v>86.938693869386952</v>
      </c>
      <c r="K50" s="27">
        <v>87.34</v>
      </c>
      <c r="L50" s="27">
        <v>87.857571514302862</v>
      </c>
      <c r="M50" s="27">
        <v>88.136440932279683</v>
      </c>
      <c r="N50" s="27">
        <v>88.308830883088319</v>
      </c>
      <c r="O50" s="27">
        <v>88.657731546309265</v>
      </c>
      <c r="P50" s="27">
        <v>89.018901890189042</v>
      </c>
    </row>
    <row r="51" spans="1:16" x14ac:dyDescent="0.25">
      <c r="A51" s="2">
        <v>49</v>
      </c>
      <c r="B51" s="27">
        <f t="shared" si="0"/>
        <v>81.084625387616285</v>
      </c>
      <c r="C51" s="27">
        <v>82.084625387616285</v>
      </c>
      <c r="D51" s="27">
        <v>83.236647329465882</v>
      </c>
      <c r="E51" s="27">
        <v>84.063625450180083</v>
      </c>
      <c r="F51" s="27">
        <v>84.685405621686499</v>
      </c>
      <c r="G51" s="27">
        <v>85.277055411082216</v>
      </c>
      <c r="H51" s="27">
        <v>85.717143428685731</v>
      </c>
      <c r="I51" s="27">
        <v>85.988598859886011</v>
      </c>
      <c r="J51" s="27">
        <v>86.518651865186541</v>
      </c>
      <c r="K51" s="27">
        <v>86.93</v>
      </c>
      <c r="L51" s="27">
        <v>87.477495499099817</v>
      </c>
      <c r="M51" s="27">
        <v>87.756326898069418</v>
      </c>
      <c r="N51" s="27">
        <v>87.968796879687972</v>
      </c>
      <c r="O51" s="27">
        <v>88.327665533106625</v>
      </c>
      <c r="P51" s="27">
        <v>88.708870887088722</v>
      </c>
    </row>
    <row r="52" spans="1:16" x14ac:dyDescent="0.25">
      <c r="A52" s="2">
        <v>50</v>
      </c>
      <c r="B52" s="27">
        <f t="shared" si="0"/>
        <v>80.514454336300886</v>
      </c>
      <c r="C52" s="27">
        <v>81.514454336300886</v>
      </c>
      <c r="D52" s="27">
        <v>82.736547309461884</v>
      </c>
      <c r="E52" s="27">
        <v>83.5234093637455</v>
      </c>
      <c r="F52" s="27">
        <v>84.215264579373809</v>
      </c>
      <c r="G52" s="27">
        <v>84.836967393478687</v>
      </c>
      <c r="H52" s="27">
        <v>85.287057411482294</v>
      </c>
      <c r="I52" s="27">
        <v>85.548554855485563</v>
      </c>
      <c r="J52" s="27">
        <v>86.078607860786079</v>
      </c>
      <c r="K52" s="27">
        <v>86.52</v>
      </c>
      <c r="L52" s="27">
        <v>87.067413482696537</v>
      </c>
      <c r="M52" s="27">
        <v>87.396218865659691</v>
      </c>
      <c r="N52" s="27">
        <v>87.638763876387642</v>
      </c>
      <c r="O52" s="27">
        <v>87.977595519103815</v>
      </c>
      <c r="P52" s="27">
        <v>88.368836883688374</v>
      </c>
    </row>
    <row r="53" spans="1:16" x14ac:dyDescent="0.25">
      <c r="A53" s="2">
        <v>51</v>
      </c>
      <c r="B53" s="27">
        <f t="shared" si="0"/>
        <v>79.964289286786027</v>
      </c>
      <c r="C53" s="27">
        <v>80.964289286786027</v>
      </c>
      <c r="D53" s="27">
        <v>82.226445289057807</v>
      </c>
      <c r="E53" s="27">
        <v>83.013205282112864</v>
      </c>
      <c r="F53" s="27">
        <v>83.755126537961388</v>
      </c>
      <c r="G53" s="27">
        <v>84.366873374674924</v>
      </c>
      <c r="H53" s="27">
        <v>84.856971394278858</v>
      </c>
      <c r="I53" s="27">
        <v>85.128512851285151</v>
      </c>
      <c r="J53" s="27">
        <v>85.618561856185636</v>
      </c>
      <c r="K53" s="27">
        <v>86.12</v>
      </c>
      <c r="L53" s="27">
        <v>86.657331466293257</v>
      </c>
      <c r="M53" s="27">
        <v>87.036110833249978</v>
      </c>
      <c r="N53" s="27">
        <v>87.288728872887305</v>
      </c>
      <c r="O53" s="27">
        <v>87.627525505101019</v>
      </c>
      <c r="P53" s="27">
        <v>88.008800880088017</v>
      </c>
    </row>
    <row r="54" spans="1:16" x14ac:dyDescent="0.25">
      <c r="A54" s="2">
        <v>52</v>
      </c>
      <c r="B54" s="27">
        <f t="shared" si="0"/>
        <v>79.404121236370898</v>
      </c>
      <c r="C54" s="27">
        <v>80.404121236370898</v>
      </c>
      <c r="D54" s="27">
        <v>81.696339267853574</v>
      </c>
      <c r="E54" s="27">
        <v>82.513005202080848</v>
      </c>
      <c r="F54" s="27">
        <v>83.294988496548953</v>
      </c>
      <c r="G54" s="27">
        <v>83.916783356671331</v>
      </c>
      <c r="H54" s="27">
        <v>84.426885377075408</v>
      </c>
      <c r="I54" s="27">
        <v>84.688468846884703</v>
      </c>
      <c r="J54" s="27">
        <v>85.178517851785188</v>
      </c>
      <c r="K54" s="27">
        <v>85.72</v>
      </c>
      <c r="L54" s="27">
        <v>86.287257451490291</v>
      </c>
      <c r="M54" s="27">
        <v>86.655996799039698</v>
      </c>
      <c r="N54" s="27">
        <v>86.918691869186929</v>
      </c>
      <c r="O54" s="27">
        <v>87.277455491098223</v>
      </c>
      <c r="P54" s="27">
        <v>87.65876587658768</v>
      </c>
    </row>
    <row r="55" spans="1:16" x14ac:dyDescent="0.25">
      <c r="A55" s="2">
        <v>53</v>
      </c>
      <c r="B55" s="27">
        <f t="shared" si="0"/>
        <v>78.863959187756322</v>
      </c>
      <c r="C55" s="27">
        <v>79.863959187756322</v>
      </c>
      <c r="D55" s="27">
        <v>81.186237247449483</v>
      </c>
      <c r="E55" s="27">
        <v>82.042817126850764</v>
      </c>
      <c r="F55" s="27">
        <v>82.824847454236263</v>
      </c>
      <c r="G55" s="27">
        <v>83.466693338667739</v>
      </c>
      <c r="H55" s="27">
        <v>83.986797359471893</v>
      </c>
      <c r="I55" s="27">
        <v>84.23842384238425</v>
      </c>
      <c r="J55" s="27">
        <v>84.768476847684781</v>
      </c>
      <c r="K55" s="27">
        <v>85.29</v>
      </c>
      <c r="L55" s="27">
        <v>85.917183436687338</v>
      </c>
      <c r="M55" s="27">
        <v>86.245873762128639</v>
      </c>
      <c r="N55" s="27">
        <v>86.548654865486569</v>
      </c>
      <c r="O55" s="27">
        <v>86.917383476695335</v>
      </c>
      <c r="P55" s="27">
        <v>87.328732873287336</v>
      </c>
    </row>
    <row r="56" spans="1:16" x14ac:dyDescent="0.25">
      <c r="A56" s="2">
        <v>54</v>
      </c>
      <c r="B56" s="27">
        <f t="shared" si="0"/>
        <v>78.35380614184254</v>
      </c>
      <c r="C56" s="27">
        <v>79.35380614184254</v>
      </c>
      <c r="D56" s="27">
        <v>80.706141228245642</v>
      </c>
      <c r="E56" s="27">
        <v>81.582633053221301</v>
      </c>
      <c r="F56" s="27">
        <v>82.344703411023289</v>
      </c>
      <c r="G56" s="27">
        <v>83.016603320664132</v>
      </c>
      <c r="H56" s="27">
        <v>83.526705341068208</v>
      </c>
      <c r="I56" s="27">
        <v>83.818381838183839</v>
      </c>
      <c r="J56" s="27">
        <v>84.35843584358436</v>
      </c>
      <c r="K56" s="27">
        <v>84.88</v>
      </c>
      <c r="L56" s="27">
        <v>85.507101420284044</v>
      </c>
      <c r="M56" s="27">
        <v>85.865759727918373</v>
      </c>
      <c r="N56" s="27">
        <v>86.188618861886212</v>
      </c>
      <c r="O56" s="27">
        <v>86.547309461892382</v>
      </c>
      <c r="P56" s="27">
        <v>86.998699869987007</v>
      </c>
    </row>
    <row r="57" spans="1:16" x14ac:dyDescent="0.25">
      <c r="A57" s="2">
        <v>55</v>
      </c>
      <c r="B57" s="27">
        <f t="shared" si="0"/>
        <v>77.863659097729311</v>
      </c>
      <c r="C57" s="27">
        <v>78.863659097729311</v>
      </c>
      <c r="D57" s="27">
        <v>80.216043208641722</v>
      </c>
      <c r="E57" s="27">
        <v>81.122448979591852</v>
      </c>
      <c r="F57" s="27">
        <v>81.85455636691006</v>
      </c>
      <c r="G57" s="27">
        <v>82.576515303060617</v>
      </c>
      <c r="H57" s="27">
        <v>83.056611322264459</v>
      </c>
      <c r="I57" s="27">
        <v>83.388338833883395</v>
      </c>
      <c r="J57" s="27">
        <v>83.958395839583972</v>
      </c>
      <c r="K57" s="27">
        <v>84.5</v>
      </c>
      <c r="L57" s="27">
        <v>85.097019403880765</v>
      </c>
      <c r="M57" s="27">
        <v>85.505651695508647</v>
      </c>
      <c r="N57" s="27">
        <v>85.828582858285827</v>
      </c>
      <c r="O57" s="27">
        <v>86.187237447489494</v>
      </c>
      <c r="P57" s="27">
        <v>86.658665866586674</v>
      </c>
    </row>
    <row r="58" spans="1:16" x14ac:dyDescent="0.25">
      <c r="A58" s="2">
        <v>56</v>
      </c>
      <c r="B58" s="27">
        <f t="shared" si="0"/>
        <v>77.373512053616068</v>
      </c>
      <c r="C58" s="27">
        <v>78.373512053616068</v>
      </c>
      <c r="D58" s="27">
        <v>79.675935187037396</v>
      </c>
      <c r="E58" s="27">
        <v>80.622248899559835</v>
      </c>
      <c r="F58" s="27">
        <v>81.38441532459737</v>
      </c>
      <c r="G58" s="27">
        <v>82.136427285457088</v>
      </c>
      <c r="H58" s="27">
        <v>82.616523304660916</v>
      </c>
      <c r="I58" s="27">
        <v>82.948294829482961</v>
      </c>
      <c r="J58" s="27">
        <v>83.548354835483565</v>
      </c>
      <c r="K58" s="27">
        <v>84.1</v>
      </c>
      <c r="L58" s="27">
        <v>84.706941388277656</v>
      </c>
      <c r="M58" s="27">
        <v>85.13554066219865</v>
      </c>
      <c r="N58" s="27">
        <v>85.488548854885508</v>
      </c>
      <c r="O58" s="27">
        <v>85.847169433886776</v>
      </c>
      <c r="P58" s="27">
        <v>86.308630863086321</v>
      </c>
    </row>
    <row r="59" spans="1:16" x14ac:dyDescent="0.25">
      <c r="A59" s="2">
        <v>57</v>
      </c>
      <c r="B59" s="27">
        <f t="shared" si="0"/>
        <v>76.883365009502839</v>
      </c>
      <c r="C59" s="27">
        <v>77.883365009502839</v>
      </c>
      <c r="D59" s="27">
        <v>79.125825165033007</v>
      </c>
      <c r="E59" s="27">
        <v>80.122048819527834</v>
      </c>
      <c r="F59" s="27">
        <v>80.924277283184949</v>
      </c>
      <c r="G59" s="27">
        <v>81.696339267853574</v>
      </c>
      <c r="H59" s="27">
        <v>82.186437287457494</v>
      </c>
      <c r="I59" s="27">
        <v>82.498249824982508</v>
      </c>
      <c r="J59" s="27">
        <v>83.128312831283139</v>
      </c>
      <c r="K59" s="27">
        <v>83.7</v>
      </c>
      <c r="L59" s="27">
        <v>84.316863372674533</v>
      </c>
      <c r="M59" s="27">
        <v>84.765429628888654</v>
      </c>
      <c r="N59" s="27">
        <v>85.128512851285151</v>
      </c>
      <c r="O59" s="27">
        <v>85.49709941988398</v>
      </c>
      <c r="P59" s="27">
        <v>85.958595859585969</v>
      </c>
    </row>
    <row r="60" spans="1:16" x14ac:dyDescent="0.25">
      <c r="A60" s="2">
        <v>58</v>
      </c>
      <c r="B60" s="27">
        <f t="shared" si="0"/>
        <v>76.363208962688802</v>
      </c>
      <c r="C60" s="27">
        <v>77.363208962688802</v>
      </c>
      <c r="D60" s="27">
        <v>78.605721144228852</v>
      </c>
      <c r="E60" s="27">
        <v>79.621848739495817</v>
      </c>
      <c r="F60" s="27">
        <v>80.464139241772529</v>
      </c>
      <c r="G60" s="27">
        <v>81.226245249049796</v>
      </c>
      <c r="H60" s="27">
        <v>81.746349269853965</v>
      </c>
      <c r="I60" s="27">
        <v>82.05820582058206</v>
      </c>
      <c r="J60" s="27">
        <v>82.718271827182718</v>
      </c>
      <c r="K60" s="27">
        <v>83.29</v>
      </c>
      <c r="L60" s="27">
        <v>83.916783356671331</v>
      </c>
      <c r="M60" s="27">
        <v>84.405321596478927</v>
      </c>
      <c r="N60" s="27">
        <v>84.738473847384753</v>
      </c>
      <c r="O60" s="27">
        <v>85.137027405481092</v>
      </c>
      <c r="P60" s="27">
        <v>85.618561856185636</v>
      </c>
    </row>
    <row r="61" spans="1:16" x14ac:dyDescent="0.25">
      <c r="A61" s="2">
        <v>59</v>
      </c>
      <c r="B61" s="27">
        <f t="shared" si="0"/>
        <v>75.823046914074212</v>
      </c>
      <c r="C61" s="27">
        <v>76.823046914074212</v>
      </c>
      <c r="D61" s="27">
        <v>78.175635127025402</v>
      </c>
      <c r="E61" s="27">
        <v>79.141656662665085</v>
      </c>
      <c r="F61" s="27">
        <v>80.004001200360108</v>
      </c>
      <c r="G61" s="27">
        <v>80.746149229845969</v>
      </c>
      <c r="H61" s="27">
        <v>81.306261252250451</v>
      </c>
      <c r="I61" s="27">
        <v>81.608160816081607</v>
      </c>
      <c r="J61" s="27">
        <v>82.288228822882303</v>
      </c>
      <c r="K61" s="27">
        <v>82.88</v>
      </c>
      <c r="L61" s="27">
        <v>83.51670334066813</v>
      </c>
      <c r="M61" s="27">
        <v>84.045213564069215</v>
      </c>
      <c r="N61" s="27">
        <v>84.378437843784397</v>
      </c>
      <c r="O61" s="27">
        <v>84.796959391878374</v>
      </c>
      <c r="P61" s="27">
        <v>85.298529852985311</v>
      </c>
    </row>
    <row r="62" spans="1:16" x14ac:dyDescent="0.25">
      <c r="A62" s="2">
        <v>60</v>
      </c>
      <c r="B62" s="27">
        <f t="shared" si="0"/>
        <v>75.292887866359905</v>
      </c>
      <c r="C62" s="27">
        <v>76.292887866359905</v>
      </c>
      <c r="D62" s="27">
        <v>77.725545109021795</v>
      </c>
      <c r="E62" s="27">
        <v>78.701480592236905</v>
      </c>
      <c r="F62" s="27">
        <v>79.553866159847956</v>
      </c>
      <c r="G62" s="27">
        <v>80.276055211042205</v>
      </c>
      <c r="H62" s="27">
        <v>80.866173234646922</v>
      </c>
      <c r="I62" s="27">
        <v>81.178117811781192</v>
      </c>
      <c r="J62" s="27">
        <v>81.878187818781896</v>
      </c>
      <c r="K62" s="27">
        <v>82.46</v>
      </c>
      <c r="L62" s="27">
        <v>83.10662132426485</v>
      </c>
      <c r="M62" s="27">
        <v>83.685105531659488</v>
      </c>
      <c r="N62" s="27">
        <v>84.048404840484068</v>
      </c>
      <c r="O62" s="27">
        <v>84.446889377875578</v>
      </c>
      <c r="P62" s="27">
        <v>84.968496849684968</v>
      </c>
    </row>
    <row r="63" spans="1:16" x14ac:dyDescent="0.25">
      <c r="A63" s="2">
        <v>61</v>
      </c>
      <c r="B63" s="27">
        <f t="shared" si="0"/>
        <v>74.752725817745329</v>
      </c>
      <c r="C63" s="27">
        <v>75.752725817745329</v>
      </c>
      <c r="D63" s="27">
        <v>77.215443088617718</v>
      </c>
      <c r="E63" s="27">
        <v>78.25130052020809</v>
      </c>
      <c r="F63" s="27">
        <v>79.093728118435521</v>
      </c>
      <c r="G63" s="27">
        <v>79.795959191838364</v>
      </c>
      <c r="H63" s="27">
        <v>80.426085217043408</v>
      </c>
      <c r="I63" s="27">
        <v>80.778077807780789</v>
      </c>
      <c r="J63" s="27">
        <v>81.458145814581471</v>
      </c>
      <c r="K63" s="27">
        <v>82.06</v>
      </c>
      <c r="L63" s="27">
        <v>82.716543308661727</v>
      </c>
      <c r="M63" s="27">
        <v>83.304991497449237</v>
      </c>
      <c r="N63" s="27">
        <v>83.678367836783693</v>
      </c>
      <c r="O63" s="27">
        <v>84.08681736347269</v>
      </c>
      <c r="P63" s="27">
        <v>84.638463846384639</v>
      </c>
    </row>
    <row r="64" spans="1:16" x14ac:dyDescent="0.25">
      <c r="A64" s="2">
        <v>62</v>
      </c>
      <c r="B64" s="27">
        <f t="shared" si="0"/>
        <v>74.242572771831547</v>
      </c>
      <c r="C64" s="27">
        <v>75.242572771831547</v>
      </c>
      <c r="D64" s="27">
        <v>76.685337067413485</v>
      </c>
      <c r="E64" s="27">
        <v>77.771108443377358</v>
      </c>
      <c r="F64" s="27">
        <v>78.623587076122831</v>
      </c>
      <c r="G64" s="27">
        <v>79.335867173434679</v>
      </c>
      <c r="H64" s="27">
        <v>79.985997199439879</v>
      </c>
      <c r="I64" s="27">
        <v>80.34803480348036</v>
      </c>
      <c r="J64" s="27">
        <v>81.048104810481064</v>
      </c>
      <c r="K64" s="27">
        <v>81.650000000000006</v>
      </c>
      <c r="L64" s="27">
        <v>82.356471294258853</v>
      </c>
      <c r="M64" s="27">
        <v>82.914874462338702</v>
      </c>
      <c r="N64" s="27">
        <v>83.308330833083318</v>
      </c>
      <c r="O64" s="27">
        <v>83.726745349069802</v>
      </c>
      <c r="P64" s="27">
        <v>84.308430843084324</v>
      </c>
    </row>
    <row r="65" spans="1:16" x14ac:dyDescent="0.25">
      <c r="A65" s="2">
        <v>63</v>
      </c>
      <c r="B65" s="27">
        <f t="shared" si="0"/>
        <v>73.732419725917765</v>
      </c>
      <c r="C65" s="27">
        <v>74.732419725917765</v>
      </c>
      <c r="D65" s="27">
        <v>76.215243048609722</v>
      </c>
      <c r="E65" s="27">
        <v>77.310924369747909</v>
      </c>
      <c r="F65" s="27">
        <v>78.163449034710411</v>
      </c>
      <c r="G65" s="27">
        <v>78.925785157031399</v>
      </c>
      <c r="H65" s="27">
        <v>79.545909181836365</v>
      </c>
      <c r="I65" s="27">
        <v>79.907990799079926</v>
      </c>
      <c r="J65" s="27">
        <v>80.628062806280639</v>
      </c>
      <c r="K65" s="27">
        <v>81.27</v>
      </c>
      <c r="L65" s="27">
        <v>81.96639327865573</v>
      </c>
      <c r="M65" s="27">
        <v>82.534760428128436</v>
      </c>
      <c r="N65" s="27">
        <v>82.96829682968297</v>
      </c>
      <c r="O65" s="27">
        <v>83.396679335867162</v>
      </c>
      <c r="P65" s="27">
        <v>83.978397839783995</v>
      </c>
    </row>
    <row r="66" spans="1:16" x14ac:dyDescent="0.25">
      <c r="A66" s="2">
        <v>64</v>
      </c>
      <c r="B66" s="27">
        <f t="shared" si="0"/>
        <v>73.242272681804536</v>
      </c>
      <c r="C66" s="27">
        <v>74.242272681804536</v>
      </c>
      <c r="D66" s="27">
        <v>75.765153030606115</v>
      </c>
      <c r="E66" s="27">
        <v>76.860744297719094</v>
      </c>
      <c r="F66" s="27">
        <v>77.723316995098529</v>
      </c>
      <c r="G66" s="27">
        <v>78.525705141028212</v>
      </c>
      <c r="H66" s="27">
        <v>79.115823164632914</v>
      </c>
      <c r="I66" s="27">
        <v>79.497949794979505</v>
      </c>
      <c r="J66" s="27">
        <v>80.218021802180218</v>
      </c>
      <c r="K66" s="27">
        <v>80.89</v>
      </c>
      <c r="L66" s="27">
        <v>81.546309261852372</v>
      </c>
      <c r="M66" s="27">
        <v>82.204661398419532</v>
      </c>
      <c r="N66" s="27">
        <v>82.638263826382641</v>
      </c>
      <c r="O66" s="27">
        <v>83.086617323464679</v>
      </c>
      <c r="P66" s="27">
        <v>83.648364836483665</v>
      </c>
    </row>
    <row r="67" spans="1:16" x14ac:dyDescent="0.25">
      <c r="A67" s="2">
        <v>65</v>
      </c>
      <c r="B67" s="27">
        <f t="shared" ref="B67:B130" si="1">C67-1</f>
        <v>72.752125637691307</v>
      </c>
      <c r="C67" s="27">
        <v>73.752125637691307</v>
      </c>
      <c r="D67" s="27">
        <v>75.295059011802351</v>
      </c>
      <c r="E67" s="27">
        <v>76.380552220888362</v>
      </c>
      <c r="F67" s="27">
        <v>77.283184955486647</v>
      </c>
      <c r="G67" s="27">
        <v>78.075615123024605</v>
      </c>
      <c r="H67" s="27">
        <v>78.685737147429478</v>
      </c>
      <c r="I67" s="27">
        <v>79.107910791079107</v>
      </c>
      <c r="J67" s="27">
        <v>79.827982798279834</v>
      </c>
      <c r="K67" s="27">
        <v>80.48</v>
      </c>
      <c r="L67" s="27">
        <v>81.166233246649327</v>
      </c>
      <c r="M67" s="27">
        <v>81.85455636691006</v>
      </c>
      <c r="N67" s="27">
        <v>82.298229822982321</v>
      </c>
      <c r="O67" s="27">
        <v>82.75655131026204</v>
      </c>
      <c r="P67" s="27">
        <v>83.318331833183336</v>
      </c>
    </row>
    <row r="68" spans="1:16" x14ac:dyDescent="0.25">
      <c r="A68" s="2">
        <v>66</v>
      </c>
      <c r="B68" s="27">
        <f t="shared" si="1"/>
        <v>72.271981594478333</v>
      </c>
      <c r="C68" s="27">
        <v>73.271981594478333</v>
      </c>
      <c r="D68" s="27">
        <v>74.834966993398666</v>
      </c>
      <c r="E68" s="27">
        <v>75.890356142456994</v>
      </c>
      <c r="F68" s="27">
        <v>76.833049914974495</v>
      </c>
      <c r="G68" s="27">
        <v>77.61552310462092</v>
      </c>
      <c r="H68" s="27">
        <v>78.255651130226042</v>
      </c>
      <c r="I68" s="27">
        <v>78.68786878687871</v>
      </c>
      <c r="J68" s="27">
        <v>79.447944794479454</v>
      </c>
      <c r="K68" s="27">
        <v>80.08</v>
      </c>
      <c r="L68" s="27">
        <v>80.826165233046609</v>
      </c>
      <c r="M68" s="27">
        <v>81.484445333600064</v>
      </c>
      <c r="N68" s="27">
        <v>81.938193819381951</v>
      </c>
      <c r="O68" s="27">
        <v>82.386477295459088</v>
      </c>
      <c r="P68" s="27">
        <v>82.988298829883007</v>
      </c>
    </row>
    <row r="69" spans="1:16" x14ac:dyDescent="0.25">
      <c r="A69" s="2">
        <v>67</v>
      </c>
      <c r="B69" s="27">
        <f t="shared" si="1"/>
        <v>71.811843553065927</v>
      </c>
      <c r="C69" s="27">
        <v>72.811843553065927</v>
      </c>
      <c r="D69" s="27">
        <v>74.374874974994995</v>
      </c>
      <c r="E69" s="27">
        <v>75.450180072028829</v>
      </c>
      <c r="F69" s="27">
        <v>76.392917875362613</v>
      </c>
      <c r="G69" s="27">
        <v>77.175435087017391</v>
      </c>
      <c r="H69" s="27">
        <v>77.83556711342267</v>
      </c>
      <c r="I69" s="27">
        <v>78.237823782378257</v>
      </c>
      <c r="J69" s="27">
        <v>79.057905790579071</v>
      </c>
      <c r="K69" s="27">
        <v>79.69</v>
      </c>
      <c r="L69" s="27">
        <v>80.476095219043799</v>
      </c>
      <c r="M69" s="27">
        <v>81.114334300290082</v>
      </c>
      <c r="N69" s="27">
        <v>81.558155815581571</v>
      </c>
      <c r="O69" s="27">
        <v>82.026405281056213</v>
      </c>
      <c r="P69" s="27">
        <v>82.628262826282651</v>
      </c>
    </row>
    <row r="70" spans="1:16" x14ac:dyDescent="0.25">
      <c r="A70" s="2">
        <v>68</v>
      </c>
      <c r="B70" s="27">
        <f t="shared" si="1"/>
        <v>71.361708512553761</v>
      </c>
      <c r="C70" s="27">
        <v>72.361708512553761</v>
      </c>
      <c r="D70" s="27">
        <v>73.884776955391075</v>
      </c>
      <c r="E70" s="27">
        <v>75.020008003201283</v>
      </c>
      <c r="F70" s="27">
        <v>75.982794838451525</v>
      </c>
      <c r="G70" s="27">
        <v>76.745349069813969</v>
      </c>
      <c r="H70" s="27">
        <v>77.405481096219248</v>
      </c>
      <c r="I70" s="27">
        <v>77.797779777977809</v>
      </c>
      <c r="J70" s="27">
        <v>78.647864786478664</v>
      </c>
      <c r="K70" s="27">
        <v>79.290000000000006</v>
      </c>
      <c r="L70" s="27">
        <v>80.096019203840768</v>
      </c>
      <c r="M70" s="27">
        <v>80.75422626788037</v>
      </c>
      <c r="N70" s="27">
        <v>81.178117811781192</v>
      </c>
      <c r="O70" s="27">
        <v>81.686337267453496</v>
      </c>
      <c r="P70" s="27">
        <v>82.288228822882303</v>
      </c>
    </row>
    <row r="71" spans="1:16" x14ac:dyDescent="0.25">
      <c r="A71" s="2">
        <v>69</v>
      </c>
      <c r="B71" s="27">
        <f t="shared" si="1"/>
        <v>70.921576472941879</v>
      </c>
      <c r="C71" s="27">
        <v>71.921576472941879</v>
      </c>
      <c r="D71" s="27">
        <v>73.414682936587326</v>
      </c>
      <c r="E71" s="27">
        <v>74.579831932773118</v>
      </c>
      <c r="F71" s="27">
        <v>75.552665799739913</v>
      </c>
      <c r="G71" s="27">
        <v>76.285257051410269</v>
      </c>
      <c r="H71" s="27">
        <v>76.975395079015797</v>
      </c>
      <c r="I71" s="27">
        <v>77.387738773877388</v>
      </c>
      <c r="J71" s="27">
        <v>78.21782178217822</v>
      </c>
      <c r="K71" s="27">
        <v>78.89</v>
      </c>
      <c r="L71" s="27">
        <v>79.685937187437489</v>
      </c>
      <c r="M71" s="27">
        <v>80.404121236370898</v>
      </c>
      <c r="N71" s="27">
        <v>80.828082808280826</v>
      </c>
      <c r="O71" s="27">
        <v>81.356271254250856</v>
      </c>
      <c r="P71" s="27">
        <v>81.958195819581974</v>
      </c>
    </row>
    <row r="72" spans="1:16" x14ac:dyDescent="0.25">
      <c r="A72" s="2">
        <v>70</v>
      </c>
      <c r="B72" s="27">
        <f t="shared" si="1"/>
        <v>70.471441432429728</v>
      </c>
      <c r="C72" s="27">
        <v>71.471441432429728</v>
      </c>
      <c r="D72" s="27">
        <v>72.984596919383876</v>
      </c>
      <c r="E72" s="27">
        <v>74.139655862344952</v>
      </c>
      <c r="F72" s="27">
        <v>75.092527758327492</v>
      </c>
      <c r="G72" s="27">
        <v>75.825165033006598</v>
      </c>
      <c r="H72" s="27">
        <v>76.545309061812361</v>
      </c>
      <c r="I72" s="27">
        <v>76.977697769776981</v>
      </c>
      <c r="J72" s="27">
        <v>77.817781778177832</v>
      </c>
      <c r="K72" s="27">
        <v>78.510000000000005</v>
      </c>
      <c r="L72" s="27">
        <v>79.295859171834365</v>
      </c>
      <c r="M72" s="27">
        <v>80.034010203060916</v>
      </c>
      <c r="N72" s="27">
        <v>80.498049804980511</v>
      </c>
      <c r="O72" s="27">
        <v>81.006201240248046</v>
      </c>
      <c r="P72" s="27">
        <v>81.618161816181626</v>
      </c>
    </row>
    <row r="73" spans="1:16" x14ac:dyDescent="0.25">
      <c r="A73" s="2">
        <v>71</v>
      </c>
      <c r="B73" s="27">
        <f t="shared" si="1"/>
        <v>70.021306391917577</v>
      </c>
      <c r="C73" s="27">
        <v>71.021306391917577</v>
      </c>
      <c r="D73" s="27">
        <v>72.534506901380269</v>
      </c>
      <c r="E73" s="27">
        <v>73.719487795118056</v>
      </c>
      <c r="F73" s="27">
        <v>74.642392717815341</v>
      </c>
      <c r="G73" s="27">
        <v>75.395079015803148</v>
      </c>
      <c r="H73" s="27">
        <v>76.115223044608911</v>
      </c>
      <c r="I73" s="27">
        <v>76.55765576557657</v>
      </c>
      <c r="J73" s="27">
        <v>77.427742774277434</v>
      </c>
      <c r="K73" s="27">
        <v>78.13</v>
      </c>
      <c r="L73" s="27">
        <v>78.955791158231634</v>
      </c>
      <c r="M73" s="27">
        <v>79.673902170651189</v>
      </c>
      <c r="N73" s="27">
        <v>80.168016801680182</v>
      </c>
      <c r="O73" s="27">
        <v>80.666133226645329</v>
      </c>
      <c r="P73" s="27">
        <v>81.288128812881297</v>
      </c>
    </row>
    <row r="74" spans="1:16" x14ac:dyDescent="0.25">
      <c r="A74" s="2">
        <v>72</v>
      </c>
      <c r="B74" s="27">
        <f t="shared" si="1"/>
        <v>69.541162348704603</v>
      </c>
      <c r="C74" s="27">
        <v>70.541162348704603</v>
      </c>
      <c r="D74" s="27">
        <v>72.074414882976598</v>
      </c>
      <c r="E74" s="27">
        <v>73.269307723089241</v>
      </c>
      <c r="F74" s="27">
        <v>74.192257677303189</v>
      </c>
      <c r="G74" s="27">
        <v>74.984996999399883</v>
      </c>
      <c r="H74" s="27">
        <v>75.695139027805567</v>
      </c>
      <c r="I74" s="27">
        <v>76.157615761576167</v>
      </c>
      <c r="J74" s="27">
        <v>77.017701770177027</v>
      </c>
      <c r="K74" s="27">
        <v>77.739999999999995</v>
      </c>
      <c r="L74" s="27">
        <v>78.595719143828759</v>
      </c>
      <c r="M74" s="27">
        <v>79.303791137341193</v>
      </c>
      <c r="N74" s="27">
        <v>79.847984798479857</v>
      </c>
      <c r="O74" s="27">
        <v>80.316063212642518</v>
      </c>
      <c r="P74" s="27">
        <v>80.958095809580968</v>
      </c>
    </row>
    <row r="75" spans="1:16" x14ac:dyDescent="0.25">
      <c r="A75" s="2">
        <v>73</v>
      </c>
      <c r="B75" s="27">
        <f t="shared" si="1"/>
        <v>69.051015304591374</v>
      </c>
      <c r="C75" s="27">
        <v>70.051015304591374</v>
      </c>
      <c r="D75" s="27">
        <v>71.654330866173225</v>
      </c>
      <c r="E75" s="27">
        <v>72.789115646258523</v>
      </c>
      <c r="F75" s="27">
        <v>73.712113634090215</v>
      </c>
      <c r="G75" s="27">
        <v>74.56491298259651</v>
      </c>
      <c r="H75" s="27">
        <v>75.275055011002209</v>
      </c>
      <c r="I75" s="27">
        <v>75.767576757675783</v>
      </c>
      <c r="J75" s="27">
        <v>76.597659765976616</v>
      </c>
      <c r="K75" s="27">
        <v>77.349999999999994</v>
      </c>
      <c r="L75" s="27">
        <v>78.205641128225636</v>
      </c>
      <c r="M75" s="27">
        <v>78.95368610583175</v>
      </c>
      <c r="N75" s="27">
        <v>79.507950795079523</v>
      </c>
      <c r="O75" s="27">
        <v>79.955991198239644</v>
      </c>
      <c r="P75" s="27">
        <v>80.628062806280639</v>
      </c>
    </row>
    <row r="76" spans="1:16" x14ac:dyDescent="0.25">
      <c r="A76" s="2">
        <v>74</v>
      </c>
      <c r="B76" s="27">
        <f t="shared" si="1"/>
        <v>68.560868260478145</v>
      </c>
      <c r="C76" s="27">
        <v>69.560868260478145</v>
      </c>
      <c r="D76" s="27">
        <v>71.214242848569711</v>
      </c>
      <c r="E76" s="27">
        <v>72.32893157262906</v>
      </c>
      <c r="F76" s="27">
        <v>73.221966589976986</v>
      </c>
      <c r="G76" s="27">
        <v>74.144828965793153</v>
      </c>
      <c r="H76" s="27">
        <v>74.844968993798759</v>
      </c>
      <c r="I76" s="27">
        <v>75.347534753475358</v>
      </c>
      <c r="J76" s="27">
        <v>76.187618761876209</v>
      </c>
      <c r="K76" s="27">
        <v>76.98</v>
      </c>
      <c r="L76" s="27">
        <v>77.825565113022606</v>
      </c>
      <c r="M76" s="27">
        <v>78.603581074322292</v>
      </c>
      <c r="N76" s="27">
        <v>79.167916791679176</v>
      </c>
      <c r="O76" s="27">
        <v>79.635927185437083</v>
      </c>
      <c r="P76" s="27">
        <v>80.318031803180332</v>
      </c>
    </row>
    <row r="77" spans="1:16" x14ac:dyDescent="0.25">
      <c r="A77" s="2">
        <v>75</v>
      </c>
      <c r="B77" s="27">
        <f t="shared" si="1"/>
        <v>68.080724217265171</v>
      </c>
      <c r="C77" s="27">
        <v>69.080724217265171</v>
      </c>
      <c r="D77" s="27">
        <v>70.754150830166026</v>
      </c>
      <c r="E77" s="27">
        <v>71.878751500600245</v>
      </c>
      <c r="F77" s="27">
        <v>72.791837551265374</v>
      </c>
      <c r="G77" s="27">
        <v>73.734746949389873</v>
      </c>
      <c r="H77" s="27">
        <v>74.444888977795557</v>
      </c>
      <c r="I77" s="27">
        <v>74.937493749374951</v>
      </c>
      <c r="J77" s="27">
        <v>75.807580758075815</v>
      </c>
      <c r="K77" s="27">
        <v>76.63</v>
      </c>
      <c r="L77" s="27">
        <v>77.455491098219639</v>
      </c>
      <c r="M77" s="27">
        <v>78.243473041912566</v>
      </c>
      <c r="N77" s="27">
        <v>78.817881788178838</v>
      </c>
      <c r="O77" s="27">
        <v>79.315863172634522</v>
      </c>
      <c r="P77" s="27">
        <v>80.008000800080026</v>
      </c>
    </row>
    <row r="78" spans="1:16" x14ac:dyDescent="0.25">
      <c r="A78" s="2">
        <v>76</v>
      </c>
      <c r="B78" s="27">
        <f t="shared" si="1"/>
        <v>67.610583174952481</v>
      </c>
      <c r="C78" s="27">
        <v>68.610583174952481</v>
      </c>
      <c r="D78" s="27">
        <v>70.294058811762355</v>
      </c>
      <c r="E78" s="27">
        <v>71.428571428571445</v>
      </c>
      <c r="F78" s="27">
        <v>72.3817145143543</v>
      </c>
      <c r="G78" s="27">
        <v>73.314662932586515</v>
      </c>
      <c r="H78" s="27">
        <v>74.044808961792356</v>
      </c>
      <c r="I78" s="27">
        <v>74.557455745574572</v>
      </c>
      <c r="J78" s="27">
        <v>75.427542754275436</v>
      </c>
      <c r="K78" s="27">
        <v>76.25</v>
      </c>
      <c r="L78" s="27">
        <v>77.105421084216843</v>
      </c>
      <c r="M78" s="27">
        <v>77.903371011303378</v>
      </c>
      <c r="N78" s="27">
        <v>78.447844784478463</v>
      </c>
      <c r="O78" s="27">
        <v>78.985797159431883</v>
      </c>
      <c r="P78" s="27">
        <v>79.707970797079724</v>
      </c>
    </row>
    <row r="79" spans="1:16" x14ac:dyDescent="0.25">
      <c r="A79" s="2">
        <v>77</v>
      </c>
      <c r="B79" s="27">
        <f t="shared" si="1"/>
        <v>67.16044813444033</v>
      </c>
      <c r="C79" s="27">
        <v>68.16044813444033</v>
      </c>
      <c r="D79" s="27">
        <v>69.823964792958591</v>
      </c>
      <c r="E79" s="27">
        <v>71.018407362945183</v>
      </c>
      <c r="F79" s="27">
        <v>71.961588476542957</v>
      </c>
      <c r="G79" s="27">
        <v>72.894578915783143</v>
      </c>
      <c r="H79" s="27">
        <v>73.624724944988998</v>
      </c>
      <c r="I79" s="27">
        <v>74.147414741474165</v>
      </c>
      <c r="J79" s="27">
        <v>75.037503750375052</v>
      </c>
      <c r="K79" s="27">
        <v>75.849999999999994</v>
      </c>
      <c r="L79" s="27">
        <v>76.71534306861372</v>
      </c>
      <c r="M79" s="27">
        <v>77.573271981594473</v>
      </c>
      <c r="N79" s="27">
        <v>78.077807780778087</v>
      </c>
      <c r="O79" s="27">
        <v>78.665733146629321</v>
      </c>
      <c r="P79" s="27">
        <v>79.3879387938794</v>
      </c>
    </row>
    <row r="80" spans="1:16" x14ac:dyDescent="0.25">
      <c r="A80" s="2">
        <v>78</v>
      </c>
      <c r="B80" s="27">
        <f t="shared" si="1"/>
        <v>66.720316094828448</v>
      </c>
      <c r="C80" s="27">
        <v>67.720316094828448</v>
      </c>
      <c r="D80" s="27">
        <v>69.333866773354657</v>
      </c>
      <c r="E80" s="27">
        <v>70.598239295718287</v>
      </c>
      <c r="F80" s="27">
        <v>71.551465439631883</v>
      </c>
      <c r="G80" s="27">
        <v>72.474494898979785</v>
      </c>
      <c r="H80" s="27">
        <v>73.194638927785562</v>
      </c>
      <c r="I80" s="27">
        <v>73.707370737073717</v>
      </c>
      <c r="J80" s="27">
        <v>74.63746374637465</v>
      </c>
      <c r="K80" s="27">
        <v>75.459999999999994</v>
      </c>
      <c r="L80" s="27">
        <v>76.325265053010597</v>
      </c>
      <c r="M80" s="27">
        <v>77.22316695008503</v>
      </c>
      <c r="N80" s="27">
        <v>77.737773777377754</v>
      </c>
      <c r="O80" s="27">
        <v>78.325665133026604</v>
      </c>
      <c r="P80" s="27">
        <v>79.067906790679075</v>
      </c>
    </row>
    <row r="81" spans="1:16" x14ac:dyDescent="0.25">
      <c r="A81" s="2">
        <v>79</v>
      </c>
      <c r="B81" s="27">
        <f t="shared" si="1"/>
        <v>66.300190057017105</v>
      </c>
      <c r="C81" s="27">
        <v>67.300190057017105</v>
      </c>
      <c r="D81" s="27">
        <v>68.883776755351079</v>
      </c>
      <c r="E81" s="27">
        <v>70.158063225290121</v>
      </c>
      <c r="F81" s="27">
        <v>71.161348404521348</v>
      </c>
      <c r="G81" s="27">
        <v>72.03440688137627</v>
      </c>
      <c r="H81" s="27">
        <v>72.774554910982204</v>
      </c>
      <c r="I81" s="27">
        <v>73.307330733073314</v>
      </c>
      <c r="J81" s="27">
        <v>74.247424742474252</v>
      </c>
      <c r="K81" s="27">
        <v>75.08</v>
      </c>
      <c r="L81" s="27">
        <v>75.95519103820763</v>
      </c>
      <c r="M81" s="27">
        <v>76.863058917675303</v>
      </c>
      <c r="N81" s="27">
        <v>77.397739773977406</v>
      </c>
      <c r="O81" s="27">
        <v>77.96559311862373</v>
      </c>
      <c r="P81" s="27">
        <v>78.727872787278741</v>
      </c>
    </row>
    <row r="82" spans="1:16" x14ac:dyDescent="0.25">
      <c r="A82" s="2">
        <v>80</v>
      </c>
      <c r="B82" s="27">
        <f t="shared" si="1"/>
        <v>65.880064019205761</v>
      </c>
      <c r="C82" s="27">
        <v>66.880064019205761</v>
      </c>
      <c r="D82" s="27">
        <v>68.493698739747956</v>
      </c>
      <c r="E82" s="27">
        <v>69.707883153261321</v>
      </c>
      <c r="F82" s="27">
        <v>70.731219365809736</v>
      </c>
      <c r="G82" s="27">
        <v>71.614322864572912</v>
      </c>
      <c r="H82" s="27">
        <v>72.374474894978988</v>
      </c>
      <c r="I82" s="27">
        <v>72.937293729372954</v>
      </c>
      <c r="J82" s="27">
        <v>73.877387738773891</v>
      </c>
      <c r="K82" s="27">
        <v>74.69</v>
      </c>
      <c r="L82" s="27">
        <v>75.605121024204834</v>
      </c>
      <c r="M82" s="27">
        <v>76.512953886165846</v>
      </c>
      <c r="N82" s="27">
        <v>77.067706770677077</v>
      </c>
      <c r="O82" s="27">
        <v>77.605521104220841</v>
      </c>
      <c r="P82" s="27">
        <v>78.377837783778389</v>
      </c>
    </row>
    <row r="83" spans="1:16" x14ac:dyDescent="0.25">
      <c r="A83" s="2">
        <v>81</v>
      </c>
      <c r="B83" s="27">
        <f t="shared" si="1"/>
        <v>65.449934980494149</v>
      </c>
      <c r="C83" s="27">
        <v>66.449934980494149</v>
      </c>
      <c r="D83" s="27">
        <v>68.103620724144832</v>
      </c>
      <c r="E83" s="27">
        <v>69.287715086034424</v>
      </c>
      <c r="F83" s="27">
        <v>70.261078323497046</v>
      </c>
      <c r="G83" s="27">
        <v>71.214242848569711</v>
      </c>
      <c r="H83" s="27">
        <v>71.974394878975787</v>
      </c>
      <c r="I83" s="27">
        <v>72.54725472547257</v>
      </c>
      <c r="J83" s="27">
        <v>73.487348734873507</v>
      </c>
      <c r="K83" s="27">
        <v>74.3</v>
      </c>
      <c r="L83" s="27">
        <v>75.235047009401882</v>
      </c>
      <c r="M83" s="27">
        <v>76.14284285285585</v>
      </c>
      <c r="N83" s="27">
        <v>76.727672767276744</v>
      </c>
      <c r="O83" s="27">
        <v>77.275455091018202</v>
      </c>
      <c r="P83" s="27">
        <v>78.04780478047806</v>
      </c>
    </row>
    <row r="84" spans="1:16" x14ac:dyDescent="0.25">
      <c r="A84" s="2">
        <v>82</v>
      </c>
      <c r="B84" s="27">
        <f t="shared" si="1"/>
        <v>65.029808942682806</v>
      </c>
      <c r="C84" s="27">
        <v>66.029808942682806</v>
      </c>
      <c r="D84" s="27">
        <v>67.703540708141617</v>
      </c>
      <c r="E84" s="27">
        <v>68.867547018807542</v>
      </c>
      <c r="F84" s="27">
        <v>69.840952285685688</v>
      </c>
      <c r="G84" s="27">
        <v>70.81416283256651</v>
      </c>
      <c r="H84" s="27">
        <v>71.574314862972599</v>
      </c>
      <c r="I84" s="27">
        <v>72.157215721572172</v>
      </c>
      <c r="J84" s="27">
        <v>73.107310731073113</v>
      </c>
      <c r="K84" s="27">
        <v>73.92</v>
      </c>
      <c r="L84" s="27">
        <v>74.854970994198837</v>
      </c>
      <c r="M84" s="27">
        <v>75.782734820446137</v>
      </c>
      <c r="N84" s="27">
        <v>76.397639763976414</v>
      </c>
      <c r="O84" s="27">
        <v>76.945389077815562</v>
      </c>
      <c r="P84" s="27">
        <v>77.737773777377754</v>
      </c>
    </row>
    <row r="85" spans="1:16" x14ac:dyDescent="0.25">
      <c r="A85" s="2">
        <v>83</v>
      </c>
      <c r="B85" s="27">
        <f t="shared" si="1"/>
        <v>64.579673902170654</v>
      </c>
      <c r="C85" s="27">
        <v>65.579673902170654</v>
      </c>
      <c r="D85" s="27">
        <v>67.313462692538508</v>
      </c>
      <c r="E85" s="27">
        <v>68.467386954781915</v>
      </c>
      <c r="F85" s="27">
        <v>69.460838251475437</v>
      </c>
      <c r="G85" s="27">
        <v>70.374074814962995</v>
      </c>
      <c r="H85" s="27">
        <v>71.16423284656932</v>
      </c>
      <c r="I85" s="27">
        <v>71.727172717271742</v>
      </c>
      <c r="J85" s="27">
        <v>72.747274727472757</v>
      </c>
      <c r="K85" s="27">
        <v>73.55</v>
      </c>
      <c r="L85" s="27">
        <v>74.48489697939587</v>
      </c>
      <c r="M85" s="27">
        <v>75.422626788036411</v>
      </c>
      <c r="N85" s="27">
        <v>76.057605760576067</v>
      </c>
      <c r="O85" s="27">
        <v>76.615323064612909</v>
      </c>
      <c r="P85" s="27">
        <v>77.437743774377452</v>
      </c>
    </row>
    <row r="86" spans="1:16" x14ac:dyDescent="0.25">
      <c r="A86" s="2">
        <v>84</v>
      </c>
      <c r="B86" s="27">
        <f t="shared" si="1"/>
        <v>64.129538861658489</v>
      </c>
      <c r="C86" s="27">
        <v>65.129538861658489</v>
      </c>
      <c r="D86" s="27">
        <v>66.923384676935385</v>
      </c>
      <c r="E86" s="27">
        <v>68.067226890756316</v>
      </c>
      <c r="F86" s="27">
        <v>69.070721216364902</v>
      </c>
      <c r="G86" s="27">
        <v>69.963992798559715</v>
      </c>
      <c r="H86" s="27">
        <v>70.754150830166026</v>
      </c>
      <c r="I86" s="27">
        <v>71.307130713071317</v>
      </c>
      <c r="J86" s="27">
        <v>72.387238723872386</v>
      </c>
      <c r="K86" s="27">
        <v>73.180000000000007</v>
      </c>
      <c r="L86" s="27">
        <v>74.124824964992996</v>
      </c>
      <c r="M86" s="27">
        <v>75.082524757427223</v>
      </c>
      <c r="N86" s="27">
        <v>75.727572757275738</v>
      </c>
      <c r="O86" s="27">
        <v>76.30526105221044</v>
      </c>
      <c r="P86" s="27">
        <v>77.107710771077109</v>
      </c>
    </row>
    <row r="87" spans="1:16" x14ac:dyDescent="0.25">
      <c r="A87" s="2">
        <v>85</v>
      </c>
      <c r="B87" s="27">
        <f t="shared" si="1"/>
        <v>63.689406822046607</v>
      </c>
      <c r="C87" s="27">
        <v>64.689406822046607</v>
      </c>
      <c r="D87" s="27">
        <v>66.493298659731948</v>
      </c>
      <c r="E87" s="27">
        <v>67.657062825130055</v>
      </c>
      <c r="F87" s="27">
        <v>68.63058917675302</v>
      </c>
      <c r="G87" s="27">
        <v>69.573914782956592</v>
      </c>
      <c r="H87" s="27">
        <v>70.364072814562903</v>
      </c>
      <c r="I87" s="27">
        <v>70.907090709070928</v>
      </c>
      <c r="J87" s="27">
        <v>71.987198719871998</v>
      </c>
      <c r="K87" s="27">
        <v>72.81</v>
      </c>
      <c r="L87" s="27">
        <v>73.734746949389873</v>
      </c>
      <c r="M87" s="27">
        <v>74.752425727718318</v>
      </c>
      <c r="N87" s="27">
        <v>75.407540754075427</v>
      </c>
      <c r="O87" s="27">
        <v>75.995199039807957</v>
      </c>
      <c r="P87" s="27">
        <v>76.77767776777678</v>
      </c>
    </row>
    <row r="88" spans="1:16" x14ac:dyDescent="0.25">
      <c r="A88" s="2">
        <v>86</v>
      </c>
      <c r="B88" s="27">
        <f t="shared" si="1"/>
        <v>63.249274782434725</v>
      </c>
      <c r="C88" s="27">
        <v>64.249274782434725</v>
      </c>
      <c r="D88" s="27">
        <v>66.033206641328263</v>
      </c>
      <c r="E88" s="27">
        <v>67.246898759503807</v>
      </c>
      <c r="F88" s="27">
        <v>68.210463138941677</v>
      </c>
      <c r="G88" s="27">
        <v>69.173834766953391</v>
      </c>
      <c r="H88" s="27">
        <v>69.973994798959779</v>
      </c>
      <c r="I88" s="27">
        <v>70.51705170517053</v>
      </c>
      <c r="J88" s="27">
        <v>71.597159715971614</v>
      </c>
      <c r="K88" s="27">
        <v>72.44</v>
      </c>
      <c r="L88" s="27">
        <v>73.384676935387077</v>
      </c>
      <c r="M88" s="27">
        <v>74.41232369710913</v>
      </c>
      <c r="N88" s="27">
        <v>75.067506750675079</v>
      </c>
      <c r="O88" s="27">
        <v>75.685137027405474</v>
      </c>
      <c r="P88" s="27">
        <v>76.467646764676473</v>
      </c>
    </row>
    <row r="89" spans="1:16" x14ac:dyDescent="0.25">
      <c r="A89" s="2">
        <v>87</v>
      </c>
      <c r="B89" s="27">
        <f t="shared" si="1"/>
        <v>62.829148744623382</v>
      </c>
      <c r="C89" s="27">
        <v>63.829148744623382</v>
      </c>
      <c r="D89" s="27">
        <v>65.583116623324656</v>
      </c>
      <c r="E89" s="27">
        <v>66.826730692276925</v>
      </c>
      <c r="F89" s="27">
        <v>67.810343102930887</v>
      </c>
      <c r="G89" s="27">
        <v>68.773754750950189</v>
      </c>
      <c r="H89" s="27">
        <v>69.593918783756749</v>
      </c>
      <c r="I89" s="27">
        <v>70.137013701370137</v>
      </c>
      <c r="J89" s="27">
        <v>71.197119711971212</v>
      </c>
      <c r="K89" s="27">
        <v>72.06</v>
      </c>
      <c r="L89" s="27">
        <v>73.054610922184438</v>
      </c>
      <c r="M89" s="27">
        <v>74.052215664699403</v>
      </c>
      <c r="N89" s="27">
        <v>74.717471747174727</v>
      </c>
      <c r="O89" s="27">
        <v>75.3250650130026</v>
      </c>
      <c r="P89" s="27">
        <v>76.157615761576167</v>
      </c>
    </row>
    <row r="90" spans="1:16" x14ac:dyDescent="0.25">
      <c r="A90" s="2">
        <v>88</v>
      </c>
      <c r="B90" s="27">
        <f t="shared" si="1"/>
        <v>62.419025707712308</v>
      </c>
      <c r="C90" s="27">
        <v>63.419025707712308</v>
      </c>
      <c r="D90" s="27">
        <v>65.183036607321469</v>
      </c>
      <c r="E90" s="27">
        <v>66.386554621848745</v>
      </c>
      <c r="F90" s="27">
        <v>67.400220066019799</v>
      </c>
      <c r="G90" s="27">
        <v>68.383676735347066</v>
      </c>
      <c r="H90" s="27">
        <v>69.193838767753562</v>
      </c>
      <c r="I90" s="27">
        <v>69.746974697469753</v>
      </c>
      <c r="J90" s="27">
        <v>70.817081708170832</v>
      </c>
      <c r="K90" s="27">
        <v>71.680000000000007</v>
      </c>
      <c r="L90" s="27">
        <v>72.704540908181627</v>
      </c>
      <c r="M90" s="27">
        <v>73.692107632289691</v>
      </c>
      <c r="N90" s="27">
        <v>74.377437743774394</v>
      </c>
      <c r="O90" s="27">
        <v>74.97499499899979</v>
      </c>
      <c r="P90" s="27">
        <v>75.837583758375843</v>
      </c>
    </row>
    <row r="91" spans="1:16" x14ac:dyDescent="0.25">
      <c r="A91" s="2">
        <v>89</v>
      </c>
      <c r="B91" s="27">
        <f t="shared" si="1"/>
        <v>62.018905671701503</v>
      </c>
      <c r="C91" s="27">
        <v>63.018905671701503</v>
      </c>
      <c r="D91" s="27">
        <v>64.812962592518502</v>
      </c>
      <c r="E91" s="27">
        <v>65.936374549819931</v>
      </c>
      <c r="F91" s="27">
        <v>66.970091027308186</v>
      </c>
      <c r="G91" s="27">
        <v>67.973594718943787</v>
      </c>
      <c r="H91" s="27">
        <v>68.783756751350268</v>
      </c>
      <c r="I91" s="27">
        <v>69.346934693469365</v>
      </c>
      <c r="J91" s="27">
        <v>70.447044704470457</v>
      </c>
      <c r="K91" s="27">
        <v>71.33</v>
      </c>
      <c r="L91" s="27">
        <v>72.344468893778753</v>
      </c>
      <c r="M91" s="27">
        <v>73.352005601680503</v>
      </c>
      <c r="N91" s="27">
        <v>74.047404740474065</v>
      </c>
      <c r="O91" s="27">
        <v>74.664932986597321</v>
      </c>
      <c r="P91" s="27">
        <v>75.537553755375555</v>
      </c>
    </row>
    <row r="92" spans="1:16" x14ac:dyDescent="0.25">
      <c r="A92" s="2">
        <v>90</v>
      </c>
      <c r="B92" s="27">
        <f t="shared" si="1"/>
        <v>61.618785635690706</v>
      </c>
      <c r="C92" s="27">
        <v>62.618785635690706</v>
      </c>
      <c r="D92" s="27">
        <v>64.382876575315066</v>
      </c>
      <c r="E92" s="27">
        <v>65.536214485794332</v>
      </c>
      <c r="F92" s="27">
        <v>66.549964989496843</v>
      </c>
      <c r="G92" s="27">
        <v>67.553510702140429</v>
      </c>
      <c r="H92" s="27">
        <v>68.393678735747145</v>
      </c>
      <c r="I92" s="27">
        <v>68.966896689668971</v>
      </c>
      <c r="J92" s="27">
        <v>70.087008700870101</v>
      </c>
      <c r="K92" s="27">
        <v>70.98</v>
      </c>
      <c r="L92" s="27">
        <v>72.004400880176021</v>
      </c>
      <c r="M92" s="27">
        <v>73.011903571071315</v>
      </c>
      <c r="N92" s="27">
        <v>73.72737273727374</v>
      </c>
      <c r="O92" s="27">
        <v>74.364872974594917</v>
      </c>
      <c r="P92" s="27">
        <v>75.227522752275235</v>
      </c>
    </row>
    <row r="93" spans="1:16" x14ac:dyDescent="0.25">
      <c r="A93" s="2">
        <v>91</v>
      </c>
      <c r="B93" s="27">
        <f t="shared" si="1"/>
        <v>61.228668600580171</v>
      </c>
      <c r="C93" s="27">
        <v>62.228668600580171</v>
      </c>
      <c r="D93" s="27">
        <v>63.922784556911374</v>
      </c>
      <c r="E93" s="27">
        <v>65.146058423369368</v>
      </c>
      <c r="F93" s="27">
        <v>66.149844953486038</v>
      </c>
      <c r="G93" s="27">
        <v>67.153430686137227</v>
      </c>
      <c r="H93" s="27">
        <v>68.003600720144021</v>
      </c>
      <c r="I93" s="27">
        <v>68.59685968596861</v>
      </c>
      <c r="J93" s="27">
        <v>69.706970697069721</v>
      </c>
      <c r="K93" s="27">
        <v>70.64</v>
      </c>
      <c r="L93" s="27">
        <v>71.664332866573318</v>
      </c>
      <c r="M93" s="27">
        <v>72.651795538661588</v>
      </c>
      <c r="N93" s="27">
        <v>73.397339733973411</v>
      </c>
      <c r="O93" s="27">
        <v>74.044808961792356</v>
      </c>
      <c r="P93" s="27">
        <v>74.907490749074924</v>
      </c>
    </row>
    <row r="94" spans="1:16" x14ac:dyDescent="0.25">
      <c r="A94" s="2">
        <v>92</v>
      </c>
      <c r="B94" s="27">
        <f t="shared" si="1"/>
        <v>60.848554566369906</v>
      </c>
      <c r="C94" s="27">
        <v>61.848554566369906</v>
      </c>
      <c r="D94" s="27">
        <v>63.552710542108422</v>
      </c>
      <c r="E94" s="27">
        <v>64.765906362545024</v>
      </c>
      <c r="F94" s="27">
        <v>65.759727918375503</v>
      </c>
      <c r="G94" s="27">
        <v>66.783356671334261</v>
      </c>
      <c r="H94" s="27">
        <v>67.643528705741147</v>
      </c>
      <c r="I94" s="27">
        <v>68.196819681968208</v>
      </c>
      <c r="J94" s="27">
        <v>69.326932693269328</v>
      </c>
      <c r="K94" s="27">
        <v>70.27</v>
      </c>
      <c r="L94" s="27">
        <v>71.334266853370664</v>
      </c>
      <c r="M94" s="27">
        <v>72.311693508052414</v>
      </c>
      <c r="N94" s="27">
        <v>73.057305730573063</v>
      </c>
      <c r="O94" s="27">
        <v>73.734746949389873</v>
      </c>
      <c r="P94" s="27">
        <v>74.597459745974618</v>
      </c>
    </row>
    <row r="95" spans="1:16" x14ac:dyDescent="0.25">
      <c r="A95" s="2">
        <v>93</v>
      </c>
      <c r="B95" s="27">
        <f t="shared" si="1"/>
        <v>60.458437531259371</v>
      </c>
      <c r="C95" s="27">
        <v>61.458437531259371</v>
      </c>
      <c r="D95" s="27">
        <v>63.212642528505704</v>
      </c>
      <c r="E95" s="27">
        <v>64.365746298519426</v>
      </c>
      <c r="F95" s="27">
        <v>65.389616885065522</v>
      </c>
      <c r="G95" s="27">
        <v>66.40328065613123</v>
      </c>
      <c r="H95" s="27">
        <v>67.273454690938195</v>
      </c>
      <c r="I95" s="27">
        <v>67.816781678167828</v>
      </c>
      <c r="J95" s="27">
        <v>68.956895689568967</v>
      </c>
      <c r="K95" s="27">
        <v>69.89</v>
      </c>
      <c r="L95" s="27">
        <v>70.97419483896779</v>
      </c>
      <c r="M95" s="27">
        <v>71.991597479243765</v>
      </c>
      <c r="N95" s="27">
        <v>72.727272727272734</v>
      </c>
      <c r="O95" s="27">
        <v>73.404680936187233</v>
      </c>
      <c r="P95" s="27">
        <v>74.277427742774279</v>
      </c>
    </row>
    <row r="96" spans="1:16" x14ac:dyDescent="0.25">
      <c r="A96" s="2">
        <v>94</v>
      </c>
      <c r="B96" s="27">
        <f t="shared" si="1"/>
        <v>60.068320496148836</v>
      </c>
      <c r="C96" s="27">
        <v>61.068320496148836</v>
      </c>
      <c r="D96" s="27">
        <v>62.812562512502495</v>
      </c>
      <c r="E96" s="27">
        <v>63.965586234493806</v>
      </c>
      <c r="F96" s="27">
        <v>64.999499849954987</v>
      </c>
      <c r="G96" s="27">
        <v>66.003200640128014</v>
      </c>
      <c r="H96" s="27">
        <v>66.903380676135228</v>
      </c>
      <c r="I96" s="27">
        <v>67.436743674367449</v>
      </c>
      <c r="J96" s="27">
        <v>68.59685968596861</v>
      </c>
      <c r="K96" s="27">
        <v>69.53</v>
      </c>
      <c r="L96" s="27">
        <v>70.584116823364667</v>
      </c>
      <c r="M96" s="27">
        <v>71.661498449534861</v>
      </c>
      <c r="N96" s="27">
        <v>72.387238723872386</v>
      </c>
      <c r="O96" s="27">
        <v>73.064612922584516</v>
      </c>
      <c r="P96" s="27">
        <v>73.967396739673973</v>
      </c>
    </row>
    <row r="97" spans="1:16" x14ac:dyDescent="0.25">
      <c r="A97" s="2">
        <v>95</v>
      </c>
      <c r="B97" s="27">
        <f t="shared" si="1"/>
        <v>59.678203461038301</v>
      </c>
      <c r="C97" s="27">
        <v>60.678203461038301</v>
      </c>
      <c r="D97" s="27">
        <v>62.372474494898974</v>
      </c>
      <c r="E97" s="27">
        <v>63.575430172068835</v>
      </c>
      <c r="F97" s="27">
        <v>64.609382814844452</v>
      </c>
      <c r="G97" s="27">
        <v>65.603120624124827</v>
      </c>
      <c r="H97" s="27">
        <v>66.523304660932183</v>
      </c>
      <c r="I97" s="27">
        <v>67.056705670567069</v>
      </c>
      <c r="J97" s="27">
        <v>68.246824682468258</v>
      </c>
      <c r="K97" s="27">
        <v>69.17</v>
      </c>
      <c r="L97" s="27">
        <v>70.214042808561715</v>
      </c>
      <c r="M97" s="27">
        <v>71.321396418925673</v>
      </c>
      <c r="N97" s="27">
        <v>72.057205720572071</v>
      </c>
      <c r="O97" s="27">
        <v>72.734546909381876</v>
      </c>
      <c r="P97" s="27">
        <v>73.667366736673671</v>
      </c>
    </row>
    <row r="98" spans="1:16" x14ac:dyDescent="0.25">
      <c r="A98" s="2">
        <v>96</v>
      </c>
      <c r="B98" s="27">
        <f t="shared" si="1"/>
        <v>59.268080424127234</v>
      </c>
      <c r="C98" s="27">
        <v>60.268080424127234</v>
      </c>
      <c r="D98" s="27">
        <v>61.932386477295459</v>
      </c>
      <c r="E98" s="27">
        <v>63.195278111244512</v>
      </c>
      <c r="F98" s="27">
        <v>64.249274782434725</v>
      </c>
      <c r="G98" s="27">
        <v>65.23304660932186</v>
      </c>
      <c r="H98" s="27">
        <v>66.143228645729138</v>
      </c>
      <c r="I98" s="27">
        <v>66.686668666866709</v>
      </c>
      <c r="J98" s="27">
        <v>67.866786678667879</v>
      </c>
      <c r="K98" s="27">
        <v>68.8</v>
      </c>
      <c r="L98" s="27">
        <v>69.883976795359075</v>
      </c>
      <c r="M98" s="27">
        <v>70.981294388316485</v>
      </c>
      <c r="N98" s="27">
        <v>71.737173717371746</v>
      </c>
      <c r="O98" s="27">
        <v>72.414482896579315</v>
      </c>
      <c r="P98" s="27">
        <v>73.357335733573365</v>
      </c>
    </row>
    <row r="99" spans="1:16" x14ac:dyDescent="0.25">
      <c r="A99" s="2">
        <v>97</v>
      </c>
      <c r="B99" s="27">
        <f t="shared" si="1"/>
        <v>58.857957387216167</v>
      </c>
      <c r="C99" s="27">
        <v>59.857957387216167</v>
      </c>
      <c r="D99" s="27">
        <v>61.502300460092016</v>
      </c>
      <c r="E99" s="27">
        <v>62.795118047218899</v>
      </c>
      <c r="F99" s="27">
        <v>63.869160748224466</v>
      </c>
      <c r="G99" s="27">
        <v>64.862972594518894</v>
      </c>
      <c r="H99" s="27">
        <v>65.753150630126015</v>
      </c>
      <c r="I99" s="27">
        <v>66.336633663366342</v>
      </c>
      <c r="J99" s="27">
        <v>67.496749674967504</v>
      </c>
      <c r="K99" s="27">
        <v>68.430000000000007</v>
      </c>
      <c r="L99" s="27">
        <v>69.533906781356265</v>
      </c>
      <c r="M99" s="27">
        <v>70.66119835950785</v>
      </c>
      <c r="N99" s="27">
        <v>71.42714271427144</v>
      </c>
      <c r="O99" s="27">
        <v>72.104420884176832</v>
      </c>
      <c r="P99" s="27">
        <v>73.057305730573063</v>
      </c>
    </row>
    <row r="100" spans="1:16" x14ac:dyDescent="0.25">
      <c r="A100" s="2">
        <v>98</v>
      </c>
      <c r="B100" s="27">
        <f t="shared" si="1"/>
        <v>58.447834350305087</v>
      </c>
      <c r="C100" s="27">
        <v>59.447834350305087</v>
      </c>
      <c r="D100" s="27">
        <v>61.142228445689135</v>
      </c>
      <c r="E100" s="27">
        <v>62.41496598639457</v>
      </c>
      <c r="F100" s="27">
        <v>63.459037711313385</v>
      </c>
      <c r="G100" s="27">
        <v>64.472894578915771</v>
      </c>
      <c r="H100" s="27">
        <v>65.373074614922984</v>
      </c>
      <c r="I100" s="27">
        <v>65.956595659565963</v>
      </c>
      <c r="J100" s="27">
        <v>67.136713671367147</v>
      </c>
      <c r="K100" s="27">
        <v>68.069999999999993</v>
      </c>
      <c r="L100" s="27">
        <v>69.183836767353469</v>
      </c>
      <c r="M100" s="27">
        <v>70.331099329798931</v>
      </c>
      <c r="N100" s="27">
        <v>71.097109710971111</v>
      </c>
      <c r="O100" s="27">
        <v>71.794358871774349</v>
      </c>
      <c r="P100" s="27">
        <v>72.737273727372752</v>
      </c>
    </row>
    <row r="101" spans="1:16" x14ac:dyDescent="0.25">
      <c r="A101" s="2">
        <v>99</v>
      </c>
      <c r="B101" s="27">
        <f t="shared" si="1"/>
        <v>58.047714314294282</v>
      </c>
      <c r="C101" s="27">
        <v>59.047714314294282</v>
      </c>
      <c r="D101" s="27">
        <v>60.812162432486488</v>
      </c>
      <c r="E101" s="27">
        <v>62.034813925570234</v>
      </c>
      <c r="F101" s="27">
        <v>63.048914674402319</v>
      </c>
      <c r="G101" s="27">
        <v>64.082816563312647</v>
      </c>
      <c r="H101" s="27">
        <v>64.99299859971994</v>
      </c>
      <c r="I101" s="27">
        <v>65.566556655665579</v>
      </c>
      <c r="J101" s="27">
        <v>66.786678667866795</v>
      </c>
      <c r="K101" s="27">
        <v>67.72</v>
      </c>
      <c r="L101" s="27">
        <v>68.823764752950595</v>
      </c>
      <c r="M101" s="27">
        <v>69.980994298289474</v>
      </c>
      <c r="N101" s="27">
        <v>70.777077707770786</v>
      </c>
      <c r="O101" s="27">
        <v>71.494298859771959</v>
      </c>
      <c r="P101" s="27">
        <v>72.417241724172428</v>
      </c>
    </row>
    <row r="102" spans="1:16" x14ac:dyDescent="0.25">
      <c r="A102" s="2">
        <v>100</v>
      </c>
      <c r="B102" s="27">
        <f t="shared" si="1"/>
        <v>57.667600280084017</v>
      </c>
      <c r="C102" s="27">
        <v>58.667600280084017</v>
      </c>
      <c r="D102" s="27">
        <v>60.452090418083614</v>
      </c>
      <c r="E102" s="27">
        <v>61.654661864745911</v>
      </c>
      <c r="F102" s="27">
        <v>62.668800640192053</v>
      </c>
      <c r="G102" s="27">
        <v>63.68273654730946</v>
      </c>
      <c r="H102" s="27">
        <v>64.612922584516895</v>
      </c>
      <c r="I102" s="27">
        <v>65.206520652065223</v>
      </c>
      <c r="J102" s="27">
        <v>66.436643664366457</v>
      </c>
      <c r="K102" s="27">
        <v>67.37</v>
      </c>
      <c r="L102" s="27">
        <v>68.483696739347863</v>
      </c>
      <c r="M102" s="27">
        <v>69.6408922676803</v>
      </c>
      <c r="N102" s="27">
        <v>70.467046704670466</v>
      </c>
      <c r="O102" s="27">
        <v>71.174234846969384</v>
      </c>
      <c r="P102" s="27">
        <v>72.107210721072107</v>
      </c>
    </row>
    <row r="103" spans="1:16" x14ac:dyDescent="0.25">
      <c r="A103" s="2">
        <v>101</v>
      </c>
      <c r="B103" s="27">
        <f t="shared" si="1"/>
        <v>57.317495248574566</v>
      </c>
      <c r="C103" s="27">
        <v>58.317495248574566</v>
      </c>
      <c r="D103" s="27">
        <v>60.072014402880576</v>
      </c>
      <c r="E103" s="27">
        <v>61.26450580232094</v>
      </c>
      <c r="F103" s="27">
        <v>62.298689606882064</v>
      </c>
      <c r="G103" s="27">
        <v>63.312662532506494</v>
      </c>
      <c r="H103" s="27">
        <v>64.242848569713942</v>
      </c>
      <c r="I103" s="27">
        <v>64.846484648464852</v>
      </c>
      <c r="J103" s="27">
        <v>66.086608660866091</v>
      </c>
      <c r="K103" s="27">
        <v>67.010000000000005</v>
      </c>
      <c r="L103" s="27">
        <v>68.143628725745145</v>
      </c>
      <c r="M103" s="27">
        <v>69.320796238871651</v>
      </c>
      <c r="N103" s="27">
        <v>70.147014701470155</v>
      </c>
      <c r="O103" s="27">
        <v>70.824164832966588</v>
      </c>
      <c r="P103" s="27">
        <v>71.817181718171824</v>
      </c>
    </row>
    <row r="104" spans="1:16" x14ac:dyDescent="0.25">
      <c r="A104" s="2">
        <v>102</v>
      </c>
      <c r="B104" s="27">
        <f t="shared" si="1"/>
        <v>56.967390217065116</v>
      </c>
      <c r="C104" s="27">
        <v>57.967390217065116</v>
      </c>
      <c r="D104" s="27">
        <v>59.70194038807761</v>
      </c>
      <c r="E104" s="27">
        <v>60.874349739895969</v>
      </c>
      <c r="F104" s="27">
        <v>61.908572571771529</v>
      </c>
      <c r="G104" s="27">
        <v>62.952590518103612</v>
      </c>
      <c r="H104" s="27">
        <v>63.882776555311054</v>
      </c>
      <c r="I104" s="27">
        <v>64.486448644864495</v>
      </c>
      <c r="J104" s="27">
        <v>65.706570657065726</v>
      </c>
      <c r="K104" s="27">
        <v>66.67</v>
      </c>
      <c r="L104" s="27">
        <v>67.813562712542506</v>
      </c>
      <c r="M104" s="27">
        <v>68.990697209162747</v>
      </c>
      <c r="N104" s="27">
        <v>69.816981698169826</v>
      </c>
      <c r="O104" s="27">
        <v>70.494098819763948</v>
      </c>
      <c r="P104" s="27">
        <v>71.517151715171536</v>
      </c>
    </row>
    <row r="105" spans="1:16" x14ac:dyDescent="0.25">
      <c r="A105" s="2">
        <v>103</v>
      </c>
      <c r="B105" s="27">
        <f t="shared" si="1"/>
        <v>56.627288186455935</v>
      </c>
      <c r="C105" s="27">
        <v>57.627288186455935</v>
      </c>
      <c r="D105" s="27">
        <v>59.33186637327465</v>
      </c>
      <c r="E105" s="27">
        <v>60.484193677470998</v>
      </c>
      <c r="F105" s="27">
        <v>61.528458537561264</v>
      </c>
      <c r="G105" s="27">
        <v>62.612522504500902</v>
      </c>
      <c r="H105" s="27">
        <v>63.532706541308265</v>
      </c>
      <c r="I105" s="27">
        <v>64.126412641264139</v>
      </c>
      <c r="J105" s="27">
        <v>65.346534653465355</v>
      </c>
      <c r="K105" s="27">
        <v>66.319999999999993</v>
      </c>
      <c r="L105" s="27">
        <v>67.473494698939774</v>
      </c>
      <c r="M105" s="27">
        <v>68.660598179453828</v>
      </c>
      <c r="N105" s="27">
        <v>69.516951695169539</v>
      </c>
      <c r="O105" s="27">
        <v>70.204040808161622</v>
      </c>
      <c r="P105" s="27">
        <v>71.21712171217122</v>
      </c>
    </row>
    <row r="106" spans="1:16" x14ac:dyDescent="0.25">
      <c r="A106" s="2">
        <v>104</v>
      </c>
      <c r="B106" s="27">
        <f t="shared" si="1"/>
        <v>56.277183154946478</v>
      </c>
      <c r="C106" s="27">
        <v>57.277183154946478</v>
      </c>
      <c r="D106" s="27">
        <v>58.971794358871776</v>
      </c>
      <c r="E106" s="27">
        <v>60.104041616646668</v>
      </c>
      <c r="F106" s="27">
        <v>61.158347504251275</v>
      </c>
      <c r="G106" s="27">
        <v>62.242448489697935</v>
      </c>
      <c r="H106" s="27">
        <v>63.162632526505298</v>
      </c>
      <c r="I106" s="27">
        <v>63.746374637463759</v>
      </c>
      <c r="J106" s="27">
        <v>65.006500650065021</v>
      </c>
      <c r="K106" s="27">
        <v>65.97</v>
      </c>
      <c r="L106" s="27">
        <v>67.143428685737135</v>
      </c>
      <c r="M106" s="27">
        <v>68.340502150645179</v>
      </c>
      <c r="N106" s="27">
        <v>69.216921692169223</v>
      </c>
      <c r="O106" s="27">
        <v>69.893978795759139</v>
      </c>
      <c r="P106" s="27">
        <v>70.887088708870891</v>
      </c>
    </row>
    <row r="107" spans="1:16" x14ac:dyDescent="0.25">
      <c r="A107" s="2">
        <v>105</v>
      </c>
      <c r="B107" s="27">
        <f t="shared" si="1"/>
        <v>55.897069120736219</v>
      </c>
      <c r="C107" s="27">
        <v>56.897069120736219</v>
      </c>
      <c r="D107" s="27">
        <v>58.581716343268653</v>
      </c>
      <c r="E107" s="27">
        <v>59.743897559023615</v>
      </c>
      <c r="F107" s="27">
        <v>60.778233470041009</v>
      </c>
      <c r="G107" s="27">
        <v>61.852370474094819</v>
      </c>
      <c r="H107" s="27">
        <v>62.782556511302261</v>
      </c>
      <c r="I107" s="27">
        <v>63.386338633863396</v>
      </c>
      <c r="J107" s="27">
        <v>64.666466646664674</v>
      </c>
      <c r="K107" s="27">
        <v>65.63</v>
      </c>
      <c r="L107" s="27">
        <v>66.813362672534495</v>
      </c>
      <c r="M107" s="27">
        <v>68.030409122736827</v>
      </c>
      <c r="N107" s="27">
        <v>68.916891689168921</v>
      </c>
      <c r="O107" s="27">
        <v>69.573914782956592</v>
      </c>
      <c r="P107" s="27">
        <v>70.577057705770585</v>
      </c>
    </row>
    <row r="108" spans="1:16" x14ac:dyDescent="0.25">
      <c r="A108" s="2">
        <v>106</v>
      </c>
      <c r="B108" s="27">
        <f t="shared" si="1"/>
        <v>55.506952085625684</v>
      </c>
      <c r="C108" s="27">
        <v>56.506952085625684</v>
      </c>
      <c r="D108" s="27">
        <v>58.181636327265451</v>
      </c>
      <c r="E108" s="27">
        <v>59.403761504601853</v>
      </c>
      <c r="F108" s="27">
        <v>60.418125437631282</v>
      </c>
      <c r="G108" s="27">
        <v>61.462292458491696</v>
      </c>
      <c r="H108" s="27">
        <v>62.412482496499294</v>
      </c>
      <c r="I108" s="27">
        <v>63.046304630463055</v>
      </c>
      <c r="J108" s="27">
        <v>64.296429642964313</v>
      </c>
      <c r="K108" s="27">
        <v>65.28</v>
      </c>
      <c r="L108" s="27">
        <v>66.483296659331856</v>
      </c>
      <c r="M108" s="27">
        <v>67.710313093928178</v>
      </c>
      <c r="N108" s="27">
        <v>68.59685968596861</v>
      </c>
      <c r="O108" s="27">
        <v>69.253850770154017</v>
      </c>
      <c r="P108" s="27">
        <v>70.277027702770283</v>
      </c>
    </row>
    <row r="109" spans="1:16" x14ac:dyDescent="0.25">
      <c r="A109" s="2">
        <v>107</v>
      </c>
      <c r="B109" s="27">
        <f t="shared" si="1"/>
        <v>55.106832049614887</v>
      </c>
      <c r="C109" s="27">
        <v>56.106832049614887</v>
      </c>
      <c r="D109" s="27">
        <v>57.811562312462485</v>
      </c>
      <c r="E109" s="27">
        <v>59.023609443777524</v>
      </c>
      <c r="F109" s="27">
        <v>60.088026407922371</v>
      </c>
      <c r="G109" s="27">
        <v>61.1122224444889</v>
      </c>
      <c r="H109" s="27">
        <v>62.042408481696334</v>
      </c>
      <c r="I109" s="27">
        <v>62.716271627162726</v>
      </c>
      <c r="J109" s="27">
        <v>63.946394639463954</v>
      </c>
      <c r="K109" s="27">
        <v>64.94</v>
      </c>
      <c r="L109" s="27">
        <v>66.133226645329074</v>
      </c>
      <c r="M109" s="27">
        <v>67.390217065119529</v>
      </c>
      <c r="N109" s="27">
        <v>68.286828682868304</v>
      </c>
      <c r="O109" s="27">
        <v>68.963792758551705</v>
      </c>
      <c r="P109" s="27">
        <v>69.996999699970004</v>
      </c>
    </row>
    <row r="110" spans="1:16" x14ac:dyDescent="0.25">
      <c r="A110" s="2">
        <v>108</v>
      </c>
      <c r="B110" s="27">
        <f t="shared" si="1"/>
        <v>54.716715014504352</v>
      </c>
      <c r="C110" s="27">
        <v>55.716715014504352</v>
      </c>
      <c r="D110" s="27">
        <v>57.481496299259845</v>
      </c>
      <c r="E110" s="27">
        <v>58.653461384553836</v>
      </c>
      <c r="F110" s="27">
        <v>59.767930379113729</v>
      </c>
      <c r="G110" s="27">
        <v>60.752150430086019</v>
      </c>
      <c r="H110" s="27">
        <v>61.68233646729346</v>
      </c>
      <c r="I110" s="27">
        <v>62.35623562356237</v>
      </c>
      <c r="J110" s="27">
        <v>63.616361636163624</v>
      </c>
      <c r="K110" s="27">
        <v>64.61</v>
      </c>
      <c r="L110" s="27">
        <v>65.783156631326264</v>
      </c>
      <c r="M110" s="27">
        <v>67.050115034510355</v>
      </c>
      <c r="N110" s="27">
        <v>67.966796679667965</v>
      </c>
      <c r="O110" s="27">
        <v>68.653730746149222</v>
      </c>
      <c r="P110" s="27">
        <v>69.696969696969703</v>
      </c>
    </row>
    <row r="111" spans="1:16" x14ac:dyDescent="0.25">
      <c r="A111" s="2">
        <v>109</v>
      </c>
      <c r="B111" s="27">
        <f t="shared" si="1"/>
        <v>54.326597979393817</v>
      </c>
      <c r="C111" s="27">
        <v>55.326597979393817</v>
      </c>
      <c r="D111" s="27">
        <v>57.111422284456893</v>
      </c>
      <c r="E111" s="27">
        <v>58.283313325330141</v>
      </c>
      <c r="F111" s="27">
        <v>59.39781934580374</v>
      </c>
      <c r="G111" s="27">
        <v>60.382076415283052</v>
      </c>
      <c r="H111" s="27">
        <v>61.332266453290657</v>
      </c>
      <c r="I111" s="27">
        <v>61.986198619861995</v>
      </c>
      <c r="J111" s="27">
        <v>63.276327632763291</v>
      </c>
      <c r="K111" s="27">
        <v>64.260000000000005</v>
      </c>
      <c r="L111" s="27">
        <v>65.463092618523703</v>
      </c>
      <c r="M111" s="27">
        <v>66.730019005701706</v>
      </c>
      <c r="N111" s="27">
        <v>67.656765676567673</v>
      </c>
      <c r="O111" s="27">
        <v>68.323664732946582</v>
      </c>
      <c r="P111" s="27">
        <v>69.386938693869396</v>
      </c>
    </row>
    <row r="112" spans="1:16" x14ac:dyDescent="0.25">
      <c r="A112" s="2">
        <v>110</v>
      </c>
      <c r="B112" s="27">
        <f t="shared" si="1"/>
        <v>53.956486946083821</v>
      </c>
      <c r="C112" s="27">
        <v>54.956486946083821</v>
      </c>
      <c r="D112" s="27">
        <v>56.751350270054012</v>
      </c>
      <c r="E112" s="27">
        <v>57.923169267707088</v>
      </c>
      <c r="F112" s="27">
        <v>59.047714314294282</v>
      </c>
      <c r="G112" s="27">
        <v>60.042008401680334</v>
      </c>
      <c r="H112" s="27">
        <v>60.982196439287854</v>
      </c>
      <c r="I112" s="27">
        <v>61.606160616061615</v>
      </c>
      <c r="J112" s="27">
        <v>62.926292629262939</v>
      </c>
      <c r="K112" s="27">
        <v>63.91</v>
      </c>
      <c r="L112" s="27">
        <v>65.163032606521313</v>
      </c>
      <c r="M112" s="27">
        <v>66.419925977793341</v>
      </c>
      <c r="N112" s="27">
        <v>67.336733673367348</v>
      </c>
      <c r="O112" s="27">
        <v>68.0136027205441</v>
      </c>
      <c r="P112" s="27">
        <v>69.066906690669086</v>
      </c>
    </row>
    <row r="113" spans="1:16" x14ac:dyDescent="0.25">
      <c r="A113" s="2">
        <v>111</v>
      </c>
      <c r="B113" s="27">
        <f t="shared" si="1"/>
        <v>53.586375912773832</v>
      </c>
      <c r="C113" s="27">
        <v>54.586375912773832</v>
      </c>
      <c r="D113" s="27">
        <v>56.43128625725145</v>
      </c>
      <c r="E113" s="27">
        <v>57.573029211684677</v>
      </c>
      <c r="F113" s="27">
        <v>58.707612283685101</v>
      </c>
      <c r="G113" s="27">
        <v>59.721944388877773</v>
      </c>
      <c r="H113" s="27">
        <v>60.632126425285051</v>
      </c>
      <c r="I113" s="27">
        <v>61.256125612561263</v>
      </c>
      <c r="J113" s="27">
        <v>62.586258625862591</v>
      </c>
      <c r="K113" s="27">
        <v>63.59</v>
      </c>
      <c r="L113" s="27">
        <v>64.85297059411883</v>
      </c>
      <c r="M113" s="27">
        <v>66.11983595078523</v>
      </c>
      <c r="N113" s="27">
        <v>67.006700670067019</v>
      </c>
      <c r="O113" s="27">
        <v>67.733546709341866</v>
      </c>
      <c r="P113" s="27">
        <v>68.776877687768788</v>
      </c>
    </row>
    <row r="114" spans="1:16" x14ac:dyDescent="0.25">
      <c r="A114" s="2">
        <v>112</v>
      </c>
      <c r="B114" s="27">
        <f t="shared" si="1"/>
        <v>53.236270881264375</v>
      </c>
      <c r="C114" s="27">
        <v>54.236270881264375</v>
      </c>
      <c r="D114" s="27">
        <v>56.081216243248647</v>
      </c>
      <c r="E114" s="27">
        <v>57.232893157262914</v>
      </c>
      <c r="F114" s="27">
        <v>58.347504251275375</v>
      </c>
      <c r="G114" s="27">
        <v>59.37187437487497</v>
      </c>
      <c r="H114" s="27">
        <v>60.27205441088217</v>
      </c>
      <c r="I114" s="27">
        <v>60.916091609160922</v>
      </c>
      <c r="J114" s="27">
        <v>62.246224622462258</v>
      </c>
      <c r="K114" s="27">
        <v>63.26</v>
      </c>
      <c r="L114" s="27">
        <v>64.52290458091619</v>
      </c>
      <c r="M114" s="27">
        <v>65.81974592377712</v>
      </c>
      <c r="N114" s="27">
        <v>66.696669666966699</v>
      </c>
      <c r="O114" s="27">
        <v>67.443488697739554</v>
      </c>
      <c r="P114" s="27">
        <v>68.496849684968495</v>
      </c>
    </row>
    <row r="115" spans="1:16" x14ac:dyDescent="0.25">
      <c r="A115" s="2">
        <v>113</v>
      </c>
      <c r="B115" s="27">
        <f t="shared" si="1"/>
        <v>52.876162848854655</v>
      </c>
      <c r="C115" s="27">
        <v>53.876162848854655</v>
      </c>
      <c r="D115" s="27">
        <v>55.681136227245446</v>
      </c>
      <c r="E115" s="27">
        <v>56.902761104441787</v>
      </c>
      <c r="F115" s="27">
        <v>57.977393217965385</v>
      </c>
      <c r="G115" s="27">
        <v>58.991798359671925</v>
      </c>
      <c r="H115" s="27">
        <v>59.921984396879367</v>
      </c>
      <c r="I115" s="27">
        <v>60.596059605960605</v>
      </c>
      <c r="J115" s="27">
        <v>61.906190619061917</v>
      </c>
      <c r="K115" s="27">
        <v>62.94</v>
      </c>
      <c r="L115" s="27">
        <v>64.192838567713551</v>
      </c>
      <c r="M115" s="27">
        <v>65.509652895868754</v>
      </c>
      <c r="N115" s="27">
        <v>66.396639663966411</v>
      </c>
      <c r="O115" s="27">
        <v>67.143428685737135</v>
      </c>
      <c r="P115" s="27">
        <v>68.196819681968208</v>
      </c>
    </row>
    <row r="116" spans="1:16" x14ac:dyDescent="0.25">
      <c r="A116" s="2">
        <v>114</v>
      </c>
      <c r="B116" s="27">
        <f t="shared" si="1"/>
        <v>52.526057817345198</v>
      </c>
      <c r="C116" s="27">
        <v>53.526057817345198</v>
      </c>
      <c r="D116" s="27">
        <v>55.331066213242643</v>
      </c>
      <c r="E116" s="27">
        <v>56.562625050020017</v>
      </c>
      <c r="F116" s="27">
        <v>57.607282184655396</v>
      </c>
      <c r="G116" s="27">
        <v>58.601720344068816</v>
      </c>
      <c r="H116" s="27">
        <v>59.571914382876578</v>
      </c>
      <c r="I116" s="27">
        <v>60.266026602660276</v>
      </c>
      <c r="J116" s="27">
        <v>61.566156615661576</v>
      </c>
      <c r="K116" s="27">
        <v>62.62</v>
      </c>
      <c r="L116" s="27">
        <v>63.862772554510897</v>
      </c>
      <c r="M116" s="27">
        <v>65.169550865259581</v>
      </c>
      <c r="N116" s="27">
        <v>66.086608660866091</v>
      </c>
      <c r="O116" s="27">
        <v>66.843368673734744</v>
      </c>
      <c r="P116" s="27">
        <v>67.896789678967906</v>
      </c>
    </row>
    <row r="117" spans="1:16" x14ac:dyDescent="0.25">
      <c r="A117" s="2">
        <v>115</v>
      </c>
      <c r="B117" s="27">
        <f t="shared" si="1"/>
        <v>52.175952785835747</v>
      </c>
      <c r="C117" s="27">
        <v>53.175952785835747</v>
      </c>
      <c r="D117" s="27">
        <v>55.011002200440089</v>
      </c>
      <c r="E117" s="27">
        <v>56.212484993997606</v>
      </c>
      <c r="F117" s="27">
        <v>57.2371711513454</v>
      </c>
      <c r="G117" s="27">
        <v>58.241648329665928</v>
      </c>
      <c r="H117" s="27">
        <v>59.231846369273853</v>
      </c>
      <c r="I117" s="27">
        <v>59.925992599259935</v>
      </c>
      <c r="J117" s="27">
        <v>61.226122612261236</v>
      </c>
      <c r="K117" s="27">
        <v>62.3</v>
      </c>
      <c r="L117" s="27">
        <v>63.542708541708343</v>
      </c>
      <c r="M117" s="27">
        <v>64.839451835550648</v>
      </c>
      <c r="N117" s="27">
        <v>65.776577657765785</v>
      </c>
      <c r="O117" s="27">
        <v>66.533306661332261</v>
      </c>
      <c r="P117" s="27">
        <v>67.616761676167627</v>
      </c>
    </row>
    <row r="118" spans="1:16" x14ac:dyDescent="0.25">
      <c r="A118" s="2">
        <v>116</v>
      </c>
      <c r="B118" s="27">
        <f t="shared" si="1"/>
        <v>51.835850755226566</v>
      </c>
      <c r="C118" s="27">
        <v>52.835850755226566</v>
      </c>
      <c r="D118" s="27">
        <v>54.690938187637528</v>
      </c>
      <c r="E118" s="27">
        <v>55.872348939575843</v>
      </c>
      <c r="F118" s="27">
        <v>56.867060118035411</v>
      </c>
      <c r="G118" s="27">
        <v>57.90158031606321</v>
      </c>
      <c r="H118" s="27">
        <v>58.891778355671136</v>
      </c>
      <c r="I118" s="27">
        <v>59.585958595859594</v>
      </c>
      <c r="J118" s="27">
        <v>60.896089608960907</v>
      </c>
      <c r="K118" s="27">
        <v>61.96</v>
      </c>
      <c r="L118" s="27">
        <v>63.212642528505704</v>
      </c>
      <c r="M118" s="27">
        <v>64.539361808542552</v>
      </c>
      <c r="N118" s="27">
        <v>65.476547654765483</v>
      </c>
      <c r="O118" s="27">
        <v>66.233246649329857</v>
      </c>
      <c r="P118" s="27">
        <v>67.316731673167325</v>
      </c>
    </row>
    <row r="119" spans="1:16" x14ac:dyDescent="0.25">
      <c r="A119" s="2">
        <v>117</v>
      </c>
      <c r="B119" s="27">
        <f t="shared" si="1"/>
        <v>51.495748724617378</v>
      </c>
      <c r="C119" s="27">
        <v>52.495748724617378</v>
      </c>
      <c r="D119" s="27">
        <v>54.35087017403481</v>
      </c>
      <c r="E119" s="27">
        <v>55.502200880352149</v>
      </c>
      <c r="F119" s="27">
        <v>56.5369610883265</v>
      </c>
      <c r="G119" s="27">
        <v>57.561512302460486</v>
      </c>
      <c r="H119" s="27">
        <v>58.531706341268254</v>
      </c>
      <c r="I119" s="27">
        <v>59.255925592559265</v>
      </c>
      <c r="J119" s="27">
        <v>60.556055605560559</v>
      </c>
      <c r="K119" s="27">
        <v>61.62</v>
      </c>
      <c r="L119" s="27">
        <v>62.892578515703143</v>
      </c>
      <c r="M119" s="27">
        <v>64.209262778833647</v>
      </c>
      <c r="N119" s="27">
        <v>65.166516651665177</v>
      </c>
      <c r="O119" s="27">
        <v>65.943188637727545</v>
      </c>
      <c r="P119" s="27">
        <v>67.026702670267028</v>
      </c>
    </row>
    <row r="120" spans="1:16" x14ac:dyDescent="0.25">
      <c r="A120" s="2">
        <v>118</v>
      </c>
      <c r="B120" s="27">
        <f t="shared" si="1"/>
        <v>51.175652695808736</v>
      </c>
      <c r="C120" s="27">
        <v>52.175652695808736</v>
      </c>
      <c r="D120" s="27">
        <v>53.990798159631922</v>
      </c>
      <c r="E120" s="27">
        <v>55.142056822729096</v>
      </c>
      <c r="F120" s="27">
        <v>56.206862058617581</v>
      </c>
      <c r="G120" s="27">
        <v>57.21144228845769</v>
      </c>
      <c r="H120" s="27">
        <v>58.19163832766553</v>
      </c>
      <c r="I120" s="27">
        <v>58.915891589158917</v>
      </c>
      <c r="J120" s="27">
        <v>60.216021602160225</v>
      </c>
      <c r="K120" s="27">
        <v>61.3</v>
      </c>
      <c r="L120" s="27">
        <v>62.572514502900582</v>
      </c>
      <c r="M120" s="27">
        <v>63.889166750024998</v>
      </c>
      <c r="N120" s="27">
        <v>64.856485648564856</v>
      </c>
      <c r="O120" s="27">
        <v>65.64312862572514</v>
      </c>
      <c r="P120" s="27">
        <v>66.72667266726674</v>
      </c>
    </row>
    <row r="121" spans="1:16" x14ac:dyDescent="0.25">
      <c r="A121" s="2">
        <v>119</v>
      </c>
      <c r="B121" s="27">
        <f t="shared" si="1"/>
        <v>50.855556667000101</v>
      </c>
      <c r="C121" s="27">
        <v>51.855556667000101</v>
      </c>
      <c r="D121" s="27">
        <v>53.640728145629126</v>
      </c>
      <c r="E121" s="27">
        <v>54.791916766706692</v>
      </c>
      <c r="F121" s="27">
        <v>55.886766029808939</v>
      </c>
      <c r="G121" s="27">
        <v>56.861372274454887</v>
      </c>
      <c r="H121" s="27">
        <v>57.86157231446289</v>
      </c>
      <c r="I121" s="27">
        <v>58.535853585358545</v>
      </c>
      <c r="J121" s="27">
        <v>59.905990599059912</v>
      </c>
      <c r="K121" s="27">
        <v>60.97</v>
      </c>
      <c r="L121" s="27">
        <v>62.25245049009802</v>
      </c>
      <c r="M121" s="27">
        <v>63.599079723917171</v>
      </c>
      <c r="N121" s="27">
        <v>64.576457645764577</v>
      </c>
      <c r="O121" s="27">
        <v>65.343068613722735</v>
      </c>
      <c r="P121" s="27">
        <v>66.446644664466447</v>
      </c>
    </row>
    <row r="122" spans="1:16" x14ac:dyDescent="0.25">
      <c r="A122" s="2">
        <v>120</v>
      </c>
      <c r="B122" s="27">
        <f t="shared" si="1"/>
        <v>50.535460638191459</v>
      </c>
      <c r="C122" s="27">
        <v>51.535460638191459</v>
      </c>
      <c r="D122" s="27">
        <v>53.280656131226245</v>
      </c>
      <c r="E122" s="27">
        <v>54.471788715486205</v>
      </c>
      <c r="F122" s="27">
        <v>55.536660998299489</v>
      </c>
      <c r="G122" s="27">
        <v>56.541308261652333</v>
      </c>
      <c r="H122" s="27">
        <v>57.531506301260251</v>
      </c>
      <c r="I122" s="27">
        <v>58.175817581758189</v>
      </c>
      <c r="J122" s="27">
        <v>59.585958595859594</v>
      </c>
      <c r="K122" s="27">
        <v>60.63</v>
      </c>
      <c r="L122" s="27">
        <v>61.922384476895374</v>
      </c>
      <c r="M122" s="27">
        <v>63.318995698709607</v>
      </c>
      <c r="N122" s="27">
        <v>64.286428642864294</v>
      </c>
      <c r="O122" s="27">
        <v>65.053010602120423</v>
      </c>
      <c r="P122" s="27">
        <v>66.176617661766187</v>
      </c>
    </row>
    <row r="123" spans="1:16" x14ac:dyDescent="0.25">
      <c r="A123" s="2">
        <v>121</v>
      </c>
      <c r="B123" s="27">
        <f t="shared" si="1"/>
        <v>50.205361608482541</v>
      </c>
      <c r="C123" s="27">
        <v>51.205361608482541</v>
      </c>
      <c r="D123" s="27">
        <v>52.950590118023598</v>
      </c>
      <c r="E123" s="27">
        <v>54.131652661064436</v>
      </c>
      <c r="F123" s="27">
        <v>55.196558967690301</v>
      </c>
      <c r="G123" s="27">
        <v>56.23124624924985</v>
      </c>
      <c r="H123" s="27">
        <v>57.21144228845769</v>
      </c>
      <c r="I123" s="27">
        <v>57.855785578557864</v>
      </c>
      <c r="J123" s="27">
        <v>59.255925592559265</v>
      </c>
      <c r="K123" s="27">
        <v>60.3</v>
      </c>
      <c r="L123" s="27">
        <v>61.582316463292656</v>
      </c>
      <c r="M123" s="27">
        <v>63.008902670801241</v>
      </c>
      <c r="N123" s="27">
        <v>63.996399639964004</v>
      </c>
      <c r="O123" s="27">
        <v>64.772954590918189</v>
      </c>
      <c r="P123" s="27">
        <v>65.876587658765885</v>
      </c>
    </row>
    <row r="124" spans="1:16" x14ac:dyDescent="0.25">
      <c r="A124" s="2">
        <v>122</v>
      </c>
      <c r="B124" s="27">
        <f t="shared" si="1"/>
        <v>49.845253576072814</v>
      </c>
      <c r="C124" s="27">
        <v>50.845253576072814</v>
      </c>
      <c r="D124" s="27">
        <v>52.620524104820959</v>
      </c>
      <c r="E124" s="27">
        <v>53.791516606642666</v>
      </c>
      <c r="F124" s="27">
        <v>54.856456937081127</v>
      </c>
      <c r="G124" s="27">
        <v>55.891178235647132</v>
      </c>
      <c r="H124" s="27">
        <v>56.891378275655129</v>
      </c>
      <c r="I124" s="27">
        <v>57.565756575657574</v>
      </c>
      <c r="J124" s="27">
        <v>58.925892589258936</v>
      </c>
      <c r="K124" s="27">
        <v>59.99</v>
      </c>
      <c r="L124" s="27">
        <v>61.262252450490095</v>
      </c>
      <c r="M124" s="27">
        <v>62.698809642892861</v>
      </c>
      <c r="N124" s="27">
        <v>63.696369636963702</v>
      </c>
      <c r="O124" s="27">
        <v>64.472894578915771</v>
      </c>
      <c r="P124" s="27">
        <v>65.55655565556556</v>
      </c>
    </row>
    <row r="125" spans="1:16" x14ac:dyDescent="0.25">
      <c r="A125" s="2">
        <v>123</v>
      </c>
      <c r="B125" s="27">
        <f t="shared" si="1"/>
        <v>49.495148544563364</v>
      </c>
      <c r="C125" s="27">
        <v>50.495148544563364</v>
      </c>
      <c r="D125" s="27">
        <v>52.310462092418476</v>
      </c>
      <c r="E125" s="27">
        <v>53.451380552220897</v>
      </c>
      <c r="F125" s="27">
        <v>54.50635190557167</v>
      </c>
      <c r="G125" s="27">
        <v>55.541108221644329</v>
      </c>
      <c r="H125" s="27">
        <v>56.561312262452482</v>
      </c>
      <c r="I125" s="27">
        <v>57.25572557255726</v>
      </c>
      <c r="J125" s="27">
        <v>58.615861586158623</v>
      </c>
      <c r="K125" s="27">
        <v>59.68</v>
      </c>
      <c r="L125" s="27">
        <v>60.952190438087612</v>
      </c>
      <c r="M125" s="27">
        <v>62.398719615884765</v>
      </c>
      <c r="N125" s="27">
        <v>63.396339633963407</v>
      </c>
      <c r="O125" s="27">
        <v>64.17283456691338</v>
      </c>
      <c r="P125" s="27">
        <v>65.276527652765282</v>
      </c>
    </row>
    <row r="126" spans="1:16" x14ac:dyDescent="0.25">
      <c r="A126" s="2">
        <v>124</v>
      </c>
      <c r="B126" s="27">
        <f t="shared" si="1"/>
        <v>49.145043513053913</v>
      </c>
      <c r="C126" s="27">
        <v>50.145043513053913</v>
      </c>
      <c r="D126" s="27">
        <v>51.990398079615915</v>
      </c>
      <c r="E126" s="27">
        <v>53.121248499399769</v>
      </c>
      <c r="F126" s="27">
        <v>54.176252875862751</v>
      </c>
      <c r="G126" s="27">
        <v>55.201040208041604</v>
      </c>
      <c r="H126" s="27">
        <v>56.211242248449693</v>
      </c>
      <c r="I126" s="27">
        <v>56.945694569456954</v>
      </c>
      <c r="J126" s="27">
        <v>58.295829582958305</v>
      </c>
      <c r="K126" s="27">
        <v>59.38</v>
      </c>
      <c r="L126" s="27">
        <v>60.642128425685137</v>
      </c>
      <c r="M126" s="27">
        <v>62.108632589776931</v>
      </c>
      <c r="N126" s="27">
        <v>63.086308630863094</v>
      </c>
      <c r="O126" s="27">
        <v>63.882776555311054</v>
      </c>
      <c r="P126" s="27">
        <v>64.996499649965003</v>
      </c>
    </row>
    <row r="127" spans="1:16" x14ac:dyDescent="0.25">
      <c r="A127" s="2">
        <v>125</v>
      </c>
      <c r="B127" s="27">
        <f t="shared" si="1"/>
        <v>48.814944483344995</v>
      </c>
      <c r="C127" s="27">
        <v>49.814944483344995</v>
      </c>
      <c r="D127" s="27">
        <v>51.660332066413282</v>
      </c>
      <c r="E127" s="27">
        <v>52.781112444978</v>
      </c>
      <c r="F127" s="27">
        <v>53.856156847054116</v>
      </c>
      <c r="G127" s="27">
        <v>54.890978195639129</v>
      </c>
      <c r="H127" s="27">
        <v>55.871174234846968</v>
      </c>
      <c r="I127" s="27">
        <v>56.615661566156625</v>
      </c>
      <c r="J127" s="27">
        <v>57.97579757975798</v>
      </c>
      <c r="K127" s="27">
        <v>59.07</v>
      </c>
      <c r="L127" s="27">
        <v>60.332066413282654</v>
      </c>
      <c r="M127" s="27">
        <v>61.788536560968289</v>
      </c>
      <c r="N127" s="27">
        <v>62.786278627862799</v>
      </c>
      <c r="O127" s="27">
        <v>63.592718543708735</v>
      </c>
      <c r="P127" s="27">
        <v>64.70647064706472</v>
      </c>
    </row>
    <row r="128" spans="1:16" x14ac:dyDescent="0.25">
      <c r="A128" s="2">
        <v>126</v>
      </c>
      <c r="B128" s="27">
        <f t="shared" si="1"/>
        <v>48.514854456336899</v>
      </c>
      <c r="C128" s="27">
        <v>49.514854456336899</v>
      </c>
      <c r="D128" s="27">
        <v>51.320264052810565</v>
      </c>
      <c r="E128" s="27">
        <v>52.470988395358155</v>
      </c>
      <c r="F128" s="27">
        <v>53.556066820046013</v>
      </c>
      <c r="G128" s="27">
        <v>54.580916183236646</v>
      </c>
      <c r="H128" s="27">
        <v>55.551110222044407</v>
      </c>
      <c r="I128" s="27">
        <v>56.245624562456257</v>
      </c>
      <c r="J128" s="27">
        <v>57.645764576457651</v>
      </c>
      <c r="K128" s="27">
        <v>58.74</v>
      </c>
      <c r="L128" s="27">
        <v>60.022004400880171</v>
      </c>
      <c r="M128" s="27">
        <v>61.468440532159647</v>
      </c>
      <c r="N128" s="27">
        <v>62.496249624962509</v>
      </c>
      <c r="O128" s="27">
        <v>63.312662532506494</v>
      </c>
      <c r="P128" s="27">
        <v>64.416441644164422</v>
      </c>
    </row>
    <row r="129" spans="1:16" x14ac:dyDescent="0.25">
      <c r="A129" s="2">
        <v>127</v>
      </c>
      <c r="B129" s="27">
        <f t="shared" si="1"/>
        <v>48.214764429328795</v>
      </c>
      <c r="C129" s="27">
        <v>49.214764429328795</v>
      </c>
      <c r="D129" s="27">
        <v>51.000200040008004</v>
      </c>
      <c r="E129" s="27">
        <v>52.160864345738304</v>
      </c>
      <c r="F129" s="27">
        <v>53.235970791237364</v>
      </c>
      <c r="G129" s="27">
        <v>54.270854170834163</v>
      </c>
      <c r="H129" s="27">
        <v>55.231046209241846</v>
      </c>
      <c r="I129" s="27">
        <v>55.915591559155921</v>
      </c>
      <c r="J129" s="27">
        <v>57.325732573257334</v>
      </c>
      <c r="K129" s="27">
        <v>58.41</v>
      </c>
      <c r="L129" s="27">
        <v>59.711942388477695</v>
      </c>
      <c r="M129" s="27">
        <v>61.168350505151537</v>
      </c>
      <c r="N129" s="27">
        <v>62.216221622162223</v>
      </c>
      <c r="O129" s="27">
        <v>63.042608521704338</v>
      </c>
      <c r="P129" s="27">
        <v>64.126412641264139</v>
      </c>
    </row>
    <row r="130" spans="1:16" x14ac:dyDescent="0.25">
      <c r="A130" s="2">
        <v>128</v>
      </c>
      <c r="B130" s="27">
        <f t="shared" si="1"/>
        <v>47.904671401420423</v>
      </c>
      <c r="C130" s="27">
        <v>48.904671401420423</v>
      </c>
      <c r="D130" s="27">
        <v>50.680136027205442</v>
      </c>
      <c r="E130" s="27">
        <v>51.840736294517818</v>
      </c>
      <c r="F130" s="27">
        <v>52.905871761528452</v>
      </c>
      <c r="G130" s="27">
        <v>53.970794158831765</v>
      </c>
      <c r="H130" s="27">
        <v>54.910982196439285</v>
      </c>
      <c r="I130" s="27">
        <v>55.62556255625563</v>
      </c>
      <c r="J130" s="27">
        <v>56.995699569957004</v>
      </c>
      <c r="K130" s="27">
        <v>58.08</v>
      </c>
      <c r="L130" s="27">
        <v>59.401880376075212</v>
      </c>
      <c r="M130" s="27">
        <v>60.858257477243171</v>
      </c>
      <c r="N130" s="27">
        <v>61.92619261926194</v>
      </c>
      <c r="O130" s="27">
        <v>62.762552510502097</v>
      </c>
      <c r="P130" s="27">
        <v>63.84638463846386</v>
      </c>
    </row>
    <row r="131" spans="1:16" x14ac:dyDescent="0.25">
      <c r="A131" s="2">
        <v>129</v>
      </c>
      <c r="B131" s="27">
        <f t="shared" ref="B131:B194" si="2">C131-1</f>
        <v>47.604581374412327</v>
      </c>
      <c r="C131" s="27">
        <v>48.604581374412327</v>
      </c>
      <c r="D131" s="27">
        <v>50.350070014002803</v>
      </c>
      <c r="E131" s="27">
        <v>51.51060424169669</v>
      </c>
      <c r="F131" s="27">
        <v>52.565769730919271</v>
      </c>
      <c r="G131" s="27">
        <v>53.660732146429282</v>
      </c>
      <c r="H131" s="27">
        <v>54.590918183636724</v>
      </c>
      <c r="I131" s="27">
        <v>55.33553355335534</v>
      </c>
      <c r="J131" s="27">
        <v>56.695669566956703</v>
      </c>
      <c r="K131" s="27">
        <v>57.77</v>
      </c>
      <c r="L131" s="27">
        <v>59.101820364072815</v>
      </c>
      <c r="M131" s="27">
        <v>60.558167450235068</v>
      </c>
      <c r="N131" s="27">
        <v>61.626162616261631</v>
      </c>
      <c r="O131" s="27">
        <v>62.462492498499699</v>
      </c>
      <c r="P131" s="27">
        <v>63.576357635763586</v>
      </c>
    </row>
    <row r="132" spans="1:16" x14ac:dyDescent="0.25">
      <c r="A132" s="2">
        <v>130</v>
      </c>
      <c r="B132" s="27">
        <f t="shared" si="2"/>
        <v>47.294488346503947</v>
      </c>
      <c r="C132" s="27">
        <v>48.294488346503947</v>
      </c>
      <c r="D132" s="27">
        <v>50.010002000400078</v>
      </c>
      <c r="E132" s="27">
        <v>51.180472188875555</v>
      </c>
      <c r="F132" s="27">
        <v>52.245673702110629</v>
      </c>
      <c r="G132" s="27">
        <v>53.350670134026807</v>
      </c>
      <c r="H132" s="27">
        <v>54.260852170434084</v>
      </c>
      <c r="I132" s="27">
        <v>54.995499549955007</v>
      </c>
      <c r="J132" s="27">
        <v>56.385638563856396</v>
      </c>
      <c r="K132" s="27">
        <v>57.46</v>
      </c>
      <c r="L132" s="27">
        <v>58.781756351270253</v>
      </c>
      <c r="M132" s="27">
        <v>60.268080424127234</v>
      </c>
      <c r="N132" s="27">
        <v>61.326132613261336</v>
      </c>
      <c r="O132" s="27">
        <v>62.182436487297458</v>
      </c>
      <c r="P132" s="27">
        <v>63.306330633063311</v>
      </c>
    </row>
    <row r="133" spans="1:16" x14ac:dyDescent="0.25">
      <c r="A133" s="2">
        <v>131</v>
      </c>
      <c r="B133" s="27">
        <f t="shared" si="2"/>
        <v>46.994398319495843</v>
      </c>
      <c r="C133" s="27">
        <v>47.994398319495843</v>
      </c>
      <c r="D133" s="27">
        <v>49.699939987997595</v>
      </c>
      <c r="E133" s="27">
        <v>50.860344137655076</v>
      </c>
      <c r="F133" s="27">
        <v>51.935580674202257</v>
      </c>
      <c r="G133" s="27">
        <v>53.02060412082416</v>
      </c>
      <c r="H133" s="27">
        <v>53.950790158031602</v>
      </c>
      <c r="I133" s="27">
        <v>54.655465546554659</v>
      </c>
      <c r="J133" s="27">
        <v>56.065606560656079</v>
      </c>
      <c r="K133" s="27">
        <v>57.15</v>
      </c>
      <c r="L133" s="27">
        <v>58.471694338867771</v>
      </c>
      <c r="M133" s="27">
        <v>59.9779933980194</v>
      </c>
      <c r="N133" s="27">
        <v>61.016101610161023</v>
      </c>
      <c r="O133" s="27">
        <v>61.922384476895374</v>
      </c>
      <c r="P133" s="27">
        <v>63.036303630363044</v>
      </c>
    </row>
    <row r="134" spans="1:16" x14ac:dyDescent="0.25">
      <c r="A134" s="2">
        <v>132</v>
      </c>
      <c r="B134" s="27">
        <f t="shared" si="2"/>
        <v>46.70431129338801</v>
      </c>
      <c r="C134" s="27">
        <v>47.70431129338801</v>
      </c>
      <c r="D134" s="27">
        <v>49.409881976395276</v>
      </c>
      <c r="E134" s="27">
        <v>50.540216086434583</v>
      </c>
      <c r="F134" s="27">
        <v>51.64549364809443</v>
      </c>
      <c r="G134" s="27">
        <v>52.690538107621521</v>
      </c>
      <c r="H134" s="27">
        <v>53.650730146029204</v>
      </c>
      <c r="I134" s="27">
        <v>54.335433543354341</v>
      </c>
      <c r="J134" s="27">
        <v>55.735573557355742</v>
      </c>
      <c r="K134" s="27">
        <v>56.85</v>
      </c>
      <c r="L134" s="27">
        <v>58.171634326865366</v>
      </c>
      <c r="M134" s="27">
        <v>59.687906371911573</v>
      </c>
      <c r="N134" s="27">
        <v>60.706070607060717</v>
      </c>
      <c r="O134" s="27">
        <v>61.632326465293055</v>
      </c>
      <c r="P134" s="27">
        <v>62.756275627562765</v>
      </c>
    </row>
    <row r="135" spans="1:16" x14ac:dyDescent="0.25">
      <c r="A135" s="2">
        <v>133</v>
      </c>
      <c r="B135" s="27">
        <f t="shared" si="2"/>
        <v>46.404221266379913</v>
      </c>
      <c r="C135" s="27">
        <v>47.404221266379913</v>
      </c>
      <c r="D135" s="27">
        <v>49.119823964792957</v>
      </c>
      <c r="E135" s="27">
        <v>50.220088035214097</v>
      </c>
      <c r="F135" s="27">
        <v>51.345403621086319</v>
      </c>
      <c r="G135" s="27">
        <v>52.37047409481896</v>
      </c>
      <c r="H135" s="27">
        <v>53.350670134026807</v>
      </c>
      <c r="I135" s="27">
        <v>54.035403540354046</v>
      </c>
      <c r="J135" s="27">
        <v>55.445544554455452</v>
      </c>
      <c r="K135" s="27">
        <v>56.57</v>
      </c>
      <c r="L135" s="27">
        <v>57.86157231446289</v>
      </c>
      <c r="M135" s="27">
        <v>59.39781934580374</v>
      </c>
      <c r="N135" s="27">
        <v>60.426042604260438</v>
      </c>
      <c r="O135" s="27">
        <v>61.322264452890579</v>
      </c>
      <c r="P135" s="27">
        <v>62.476247624762486</v>
      </c>
    </row>
    <row r="136" spans="1:16" x14ac:dyDescent="0.25">
      <c r="A136" s="2">
        <v>134</v>
      </c>
      <c r="B136" s="27">
        <f t="shared" si="2"/>
        <v>46.10413123937181</v>
      </c>
      <c r="C136" s="27">
        <v>47.10413123937181</v>
      </c>
      <c r="D136" s="27">
        <v>48.789757951590317</v>
      </c>
      <c r="E136" s="27">
        <v>49.919967987194887</v>
      </c>
      <c r="F136" s="27">
        <v>51.015304591377408</v>
      </c>
      <c r="G136" s="27">
        <v>52.060412082416477</v>
      </c>
      <c r="H136" s="27">
        <v>53.040608121624324</v>
      </c>
      <c r="I136" s="27">
        <v>53.745374537453756</v>
      </c>
      <c r="J136" s="27">
        <v>55.155515551555162</v>
      </c>
      <c r="K136" s="27">
        <v>56.28</v>
      </c>
      <c r="L136" s="27">
        <v>57.561512302460486</v>
      </c>
      <c r="M136" s="27">
        <v>59.097729318795636</v>
      </c>
      <c r="N136" s="27">
        <v>60.156015601560163</v>
      </c>
      <c r="O136" s="27">
        <v>61.022204440888174</v>
      </c>
      <c r="P136" s="27">
        <v>62.206220622062219</v>
      </c>
    </row>
    <row r="137" spans="1:16" x14ac:dyDescent="0.25">
      <c r="A137" s="2">
        <v>135</v>
      </c>
      <c r="B137" s="27">
        <f t="shared" si="2"/>
        <v>45.804041212363707</v>
      </c>
      <c r="C137" s="27">
        <v>46.804041212363707</v>
      </c>
      <c r="D137" s="27">
        <v>48.469693938787756</v>
      </c>
      <c r="E137" s="27">
        <v>49.629851940776319</v>
      </c>
      <c r="F137" s="27">
        <v>50.705211563469035</v>
      </c>
      <c r="G137" s="27">
        <v>51.750350070014001</v>
      </c>
      <c r="H137" s="27">
        <v>52.710542108421684</v>
      </c>
      <c r="I137" s="27">
        <v>53.455345534553466</v>
      </c>
      <c r="J137" s="27">
        <v>54.835483548354844</v>
      </c>
      <c r="K137" s="27">
        <v>55.97</v>
      </c>
      <c r="L137" s="27">
        <v>57.261452290458088</v>
      </c>
      <c r="M137" s="27">
        <v>58.797639291787533</v>
      </c>
      <c r="N137" s="27">
        <v>59.875987598759885</v>
      </c>
      <c r="O137" s="27">
        <v>60.752150430086019</v>
      </c>
      <c r="P137" s="27">
        <v>61.946194619461956</v>
      </c>
    </row>
    <row r="138" spans="1:16" x14ac:dyDescent="0.25">
      <c r="A138" s="2">
        <v>136</v>
      </c>
      <c r="B138" s="27">
        <f t="shared" si="2"/>
        <v>45.503951185355604</v>
      </c>
      <c r="C138" s="27">
        <v>46.503951185355604</v>
      </c>
      <c r="D138" s="27">
        <v>48.159631926385273</v>
      </c>
      <c r="E138" s="27">
        <v>49.339735894357752</v>
      </c>
      <c r="F138" s="27">
        <v>50.405121536460939</v>
      </c>
      <c r="G138" s="27">
        <v>51.460292058411682</v>
      </c>
      <c r="H138" s="27">
        <v>52.400480096019201</v>
      </c>
      <c r="I138" s="27">
        <v>53.145314531453153</v>
      </c>
      <c r="J138" s="27">
        <v>54.505450545054515</v>
      </c>
      <c r="K138" s="27">
        <v>55.66</v>
      </c>
      <c r="L138" s="27">
        <v>56.961392278455691</v>
      </c>
      <c r="M138" s="27">
        <v>58.507552265679699</v>
      </c>
      <c r="N138" s="27">
        <v>59.595959595959606</v>
      </c>
      <c r="O138" s="27">
        <v>60.472094418883778</v>
      </c>
      <c r="P138" s="27">
        <v>61.656165616561665</v>
      </c>
    </row>
    <row r="139" spans="1:16" x14ac:dyDescent="0.25">
      <c r="A139" s="2">
        <v>137</v>
      </c>
      <c r="B139" s="27">
        <f t="shared" si="2"/>
        <v>45.213864159247777</v>
      </c>
      <c r="C139" s="27">
        <v>46.213864159247777</v>
      </c>
      <c r="D139" s="27">
        <v>47.859571914382876</v>
      </c>
      <c r="E139" s="27">
        <v>49.049619847939184</v>
      </c>
      <c r="F139" s="27">
        <v>50.105031509452836</v>
      </c>
      <c r="G139" s="27">
        <v>51.180236047209441</v>
      </c>
      <c r="H139" s="27">
        <v>52.090418083616719</v>
      </c>
      <c r="I139" s="27">
        <v>52.825282528252835</v>
      </c>
      <c r="J139" s="27">
        <v>54.195419541954202</v>
      </c>
      <c r="K139" s="27">
        <v>55.37</v>
      </c>
      <c r="L139" s="27">
        <v>56.661332266453286</v>
      </c>
      <c r="M139" s="27">
        <v>58.237471241372404</v>
      </c>
      <c r="N139" s="27">
        <v>59.315931593159327</v>
      </c>
      <c r="O139" s="27">
        <v>60.212042408481693</v>
      </c>
      <c r="P139" s="27">
        <v>61.386138613861398</v>
      </c>
    </row>
    <row r="140" spans="1:16" x14ac:dyDescent="0.25">
      <c r="A140" s="2">
        <v>138</v>
      </c>
      <c r="B140" s="27">
        <f t="shared" si="2"/>
        <v>44.933780134040212</v>
      </c>
      <c r="C140" s="27">
        <v>45.933780134040212</v>
      </c>
      <c r="D140" s="27">
        <v>47.569513902780557</v>
      </c>
      <c r="E140" s="27">
        <v>48.749499799919974</v>
      </c>
      <c r="F140" s="27">
        <v>49.804941482444733</v>
      </c>
      <c r="G140" s="27">
        <v>50.890178035607121</v>
      </c>
      <c r="H140" s="27">
        <v>51.800360072014399</v>
      </c>
      <c r="I140" s="27">
        <v>52.515251525152522</v>
      </c>
      <c r="J140" s="27">
        <v>53.8953895389539</v>
      </c>
      <c r="K140" s="27">
        <v>55.08</v>
      </c>
      <c r="L140" s="27">
        <v>56.39127825565113</v>
      </c>
      <c r="M140" s="27">
        <v>57.967390217065116</v>
      </c>
      <c r="N140" s="27">
        <v>59.045904590459052</v>
      </c>
      <c r="O140" s="27">
        <v>59.951990398079609</v>
      </c>
      <c r="P140" s="27">
        <v>61.116111611161124</v>
      </c>
    </row>
    <row r="141" spans="1:16" x14ac:dyDescent="0.25">
      <c r="A141" s="2">
        <v>139</v>
      </c>
      <c r="B141" s="27">
        <f t="shared" si="2"/>
        <v>44.643693107932378</v>
      </c>
      <c r="C141" s="27">
        <v>45.643693107932378</v>
      </c>
      <c r="D141" s="27">
        <v>47.279455891178237</v>
      </c>
      <c r="E141" s="27">
        <v>48.429371748699481</v>
      </c>
      <c r="F141" s="27">
        <v>49.514854456336899</v>
      </c>
      <c r="G141" s="27">
        <v>50.57011402280456</v>
      </c>
      <c r="H141" s="27">
        <v>51.500300060012002</v>
      </c>
      <c r="I141" s="27">
        <v>52.225222522252231</v>
      </c>
      <c r="J141" s="27">
        <v>53.605360536053617</v>
      </c>
      <c r="K141" s="27">
        <v>54.79</v>
      </c>
      <c r="L141" s="27">
        <v>56.111222244448889</v>
      </c>
      <c r="M141" s="27">
        <v>57.677303190957282</v>
      </c>
      <c r="N141" s="27">
        <v>58.775877587758785</v>
      </c>
      <c r="O141" s="27">
        <v>59.661932386477289</v>
      </c>
      <c r="P141" s="27">
        <v>60.856085608560868</v>
      </c>
    </row>
    <row r="142" spans="1:16" x14ac:dyDescent="0.25">
      <c r="A142" s="2">
        <v>140</v>
      </c>
      <c r="B142" s="27">
        <f t="shared" si="2"/>
        <v>44.333600080024006</v>
      </c>
      <c r="C142" s="27">
        <v>45.333600080024006</v>
      </c>
      <c r="D142" s="27">
        <v>46.989397879575911</v>
      </c>
      <c r="E142" s="27">
        <v>48.129251700680278</v>
      </c>
      <c r="F142" s="27">
        <v>49.234770431129334</v>
      </c>
      <c r="G142" s="27">
        <v>50.250050010001999</v>
      </c>
      <c r="H142" s="27">
        <v>51.210242048409683</v>
      </c>
      <c r="I142" s="27">
        <v>51.925192519251937</v>
      </c>
      <c r="J142" s="27">
        <v>53.325332533253331</v>
      </c>
      <c r="K142" s="27">
        <v>54.49</v>
      </c>
      <c r="L142" s="27">
        <v>55.811162232446485</v>
      </c>
      <c r="M142" s="27">
        <v>57.397219165749725</v>
      </c>
      <c r="N142" s="27">
        <v>58.505850585058511</v>
      </c>
      <c r="O142" s="27">
        <v>59.381876375275048</v>
      </c>
      <c r="P142" s="27">
        <v>60.586058605860593</v>
      </c>
    </row>
    <row r="143" spans="1:16" x14ac:dyDescent="0.25">
      <c r="A143" s="2">
        <v>141</v>
      </c>
      <c r="B143" s="27">
        <f t="shared" si="2"/>
        <v>44.013504051215364</v>
      </c>
      <c r="C143" s="27">
        <v>45.013504051215364</v>
      </c>
      <c r="D143" s="27">
        <v>46.659331866373272</v>
      </c>
      <c r="E143" s="27">
        <v>47.83913565426171</v>
      </c>
      <c r="F143" s="27">
        <v>48.9446834050215</v>
      </c>
      <c r="G143" s="27">
        <v>49.949989997999594</v>
      </c>
      <c r="H143" s="27">
        <v>50.910182036407278</v>
      </c>
      <c r="I143" s="27">
        <v>51.635163516351646</v>
      </c>
      <c r="J143" s="27">
        <v>53.025302530253036</v>
      </c>
      <c r="K143" s="27">
        <v>54.18</v>
      </c>
      <c r="L143" s="27">
        <v>55.511102220444087</v>
      </c>
      <c r="M143" s="27">
        <v>57.11713514054216</v>
      </c>
      <c r="N143" s="27">
        <v>58.225822582258232</v>
      </c>
      <c r="O143" s="27">
        <v>59.121824364872971</v>
      </c>
      <c r="P143" s="27">
        <v>60.316031603160326</v>
      </c>
    </row>
    <row r="144" spans="1:16" x14ac:dyDescent="0.25">
      <c r="A144" s="2">
        <v>142</v>
      </c>
      <c r="B144" s="27">
        <f t="shared" si="2"/>
        <v>43.703411023306984</v>
      </c>
      <c r="C144" s="27">
        <v>44.703411023306984</v>
      </c>
      <c r="D144" s="27">
        <v>46.369273854770952</v>
      </c>
      <c r="E144" s="27">
        <v>47.569027611044426</v>
      </c>
      <c r="F144" s="27">
        <v>48.634590377113128</v>
      </c>
      <c r="G144" s="27">
        <v>49.639927985597119</v>
      </c>
      <c r="H144" s="27">
        <v>50.61012202440488</v>
      </c>
      <c r="I144" s="27">
        <v>51.345134513451356</v>
      </c>
      <c r="J144" s="27">
        <v>52.725272527252734</v>
      </c>
      <c r="K144" s="27">
        <v>53.89</v>
      </c>
      <c r="L144" s="27">
        <v>55.241048209641924</v>
      </c>
      <c r="M144" s="27">
        <v>56.837051115334596</v>
      </c>
      <c r="N144" s="27">
        <v>57.955795579557964</v>
      </c>
      <c r="O144" s="27">
        <v>58.851770354070815</v>
      </c>
      <c r="P144" s="27">
        <v>60.046004600460051</v>
      </c>
    </row>
    <row r="145" spans="1:16" x14ac:dyDescent="0.25">
      <c r="A145" s="2">
        <v>143</v>
      </c>
      <c r="B145" s="27">
        <f t="shared" si="2"/>
        <v>43.403320996298888</v>
      </c>
      <c r="C145" s="27">
        <v>44.403320996298888</v>
      </c>
      <c r="D145" s="27">
        <v>46.119223844768953</v>
      </c>
      <c r="E145" s="27">
        <v>47.268907563025216</v>
      </c>
      <c r="F145" s="27">
        <v>48.314494348304486</v>
      </c>
      <c r="G145" s="27">
        <v>49.339867973594714</v>
      </c>
      <c r="H145" s="27">
        <v>50.300060012002398</v>
      </c>
      <c r="I145" s="27">
        <v>51.065106510651077</v>
      </c>
      <c r="J145" s="27">
        <v>52.435243524352444</v>
      </c>
      <c r="K145" s="27">
        <v>53.6</v>
      </c>
      <c r="L145" s="27">
        <v>54.950990198039605</v>
      </c>
      <c r="M145" s="27">
        <v>56.556967090127031</v>
      </c>
      <c r="N145" s="27">
        <v>57.665766576657667</v>
      </c>
      <c r="O145" s="27">
        <v>58.561712342468489</v>
      </c>
      <c r="P145" s="27">
        <v>59.775977597759784</v>
      </c>
    </row>
    <row r="146" spans="1:16" x14ac:dyDescent="0.25">
      <c r="A146" s="2">
        <v>144</v>
      </c>
      <c r="B146" s="27">
        <f t="shared" si="2"/>
        <v>43.123236971091323</v>
      </c>
      <c r="C146" s="27">
        <v>44.123236971091323</v>
      </c>
      <c r="D146" s="27">
        <v>45.859171834366876</v>
      </c>
      <c r="E146" s="27">
        <v>46.978791516606648</v>
      </c>
      <c r="F146" s="27">
        <v>48.014404321296382</v>
      </c>
      <c r="G146" s="27">
        <v>49.049809961992395</v>
      </c>
      <c r="H146" s="27">
        <v>50</v>
      </c>
      <c r="I146" s="27">
        <v>50.755075507550764</v>
      </c>
      <c r="J146" s="27">
        <v>52.145214521452154</v>
      </c>
      <c r="K146" s="27">
        <v>53.31</v>
      </c>
      <c r="L146" s="27">
        <v>54.650930186037208</v>
      </c>
      <c r="M146" s="27">
        <v>56.276883064919467</v>
      </c>
      <c r="N146" s="27">
        <v>57.405740574057411</v>
      </c>
      <c r="O146" s="27">
        <v>58.281656331266255</v>
      </c>
      <c r="P146" s="27">
        <v>59.52595259525954</v>
      </c>
    </row>
    <row r="147" spans="1:16" x14ac:dyDescent="0.25">
      <c r="A147" s="2">
        <v>145</v>
      </c>
      <c r="B147" s="27">
        <f t="shared" si="2"/>
        <v>42.853155946784035</v>
      </c>
      <c r="C147" s="27">
        <v>43.853155946784035</v>
      </c>
      <c r="D147" s="27">
        <v>45.559111822364471</v>
      </c>
      <c r="E147" s="27">
        <v>46.678671468587439</v>
      </c>
      <c r="F147" s="27">
        <v>47.734320296088825</v>
      </c>
      <c r="G147" s="27">
        <v>48.769753950790154</v>
      </c>
      <c r="H147" s="27">
        <v>49.699939987997595</v>
      </c>
      <c r="I147" s="27">
        <v>50.455045504550462</v>
      </c>
      <c r="J147" s="27">
        <v>51.855185518551863</v>
      </c>
      <c r="K147" s="27">
        <v>53.03</v>
      </c>
      <c r="L147" s="27">
        <v>54.360872174434888</v>
      </c>
      <c r="M147" s="27">
        <v>55.976793037911371</v>
      </c>
      <c r="N147" s="27">
        <v>57.135713571357144</v>
      </c>
      <c r="O147" s="27">
        <v>58.021604320864171</v>
      </c>
      <c r="P147" s="27">
        <v>59.26592659265927</v>
      </c>
    </row>
    <row r="148" spans="1:16" x14ac:dyDescent="0.25">
      <c r="A148" s="2">
        <v>146</v>
      </c>
      <c r="B148" s="27">
        <f t="shared" si="2"/>
        <v>42.59307792337701</v>
      </c>
      <c r="C148" s="27">
        <v>43.59307792337701</v>
      </c>
      <c r="D148" s="27">
        <v>45.259051810362074</v>
      </c>
      <c r="E148" s="27">
        <v>46.39855942376952</v>
      </c>
      <c r="F148" s="27">
        <v>47.444233269980991</v>
      </c>
      <c r="G148" s="27">
        <v>48.479695939187835</v>
      </c>
      <c r="H148" s="27">
        <v>49.409881976395276</v>
      </c>
      <c r="I148" s="27">
        <v>50.175017501750183</v>
      </c>
      <c r="J148" s="27">
        <v>51.565156515651573</v>
      </c>
      <c r="K148" s="27">
        <v>52.75</v>
      </c>
      <c r="L148" s="27">
        <v>54.080816163232647</v>
      </c>
      <c r="M148" s="27">
        <v>55.676703010903267</v>
      </c>
      <c r="N148" s="27">
        <v>56.855685568556865</v>
      </c>
      <c r="O148" s="27">
        <v>57.771554310862165</v>
      </c>
      <c r="P148" s="27">
        <v>59.005900590059014</v>
      </c>
    </row>
    <row r="149" spans="1:16" x14ac:dyDescent="0.25">
      <c r="A149" s="2">
        <v>147</v>
      </c>
      <c r="B149" s="27">
        <f t="shared" si="2"/>
        <v>42.322996899069722</v>
      </c>
      <c r="C149" s="27">
        <v>43.322996899069722</v>
      </c>
      <c r="D149" s="27">
        <v>44.948989797959591</v>
      </c>
      <c r="E149" s="27">
        <v>46.138455382152863</v>
      </c>
      <c r="F149" s="27">
        <v>47.144143242972895</v>
      </c>
      <c r="G149" s="27">
        <v>48.189637927585515</v>
      </c>
      <c r="H149" s="27">
        <v>49.129825965193035</v>
      </c>
      <c r="I149" s="27">
        <v>49.884988498849893</v>
      </c>
      <c r="J149" s="27">
        <v>51.285128512851294</v>
      </c>
      <c r="K149" s="27">
        <v>52.46</v>
      </c>
      <c r="L149" s="27">
        <v>53.790758151630328</v>
      </c>
      <c r="M149" s="27">
        <v>55.406621986595972</v>
      </c>
      <c r="N149" s="27">
        <v>56.555655565556563</v>
      </c>
      <c r="O149" s="27">
        <v>57.501500300060009</v>
      </c>
      <c r="P149" s="27">
        <v>58.755875587558762</v>
      </c>
    </row>
    <row r="150" spans="1:16" x14ac:dyDescent="0.25">
      <c r="A150" s="2">
        <v>148</v>
      </c>
      <c r="B150" s="27">
        <f t="shared" si="2"/>
        <v>42.042912873862157</v>
      </c>
      <c r="C150" s="27">
        <v>43.042912873862157</v>
      </c>
      <c r="D150" s="27">
        <v>44.658931786357265</v>
      </c>
      <c r="E150" s="27">
        <v>45.868347338935585</v>
      </c>
      <c r="F150" s="27">
        <v>46.86405921776533</v>
      </c>
      <c r="G150" s="27">
        <v>47.899579915983196</v>
      </c>
      <c r="H150" s="27">
        <v>48.839767953590716</v>
      </c>
      <c r="I150" s="27">
        <v>49.594959495949603</v>
      </c>
      <c r="J150" s="27">
        <v>51.005100510051015</v>
      </c>
      <c r="K150" s="27">
        <v>52.17</v>
      </c>
      <c r="L150" s="27">
        <v>53.500700140028002</v>
      </c>
      <c r="M150" s="27">
        <v>55.116534960488146</v>
      </c>
      <c r="N150" s="27">
        <v>56.2956295629563</v>
      </c>
      <c r="O150" s="27">
        <v>57.241448289657924</v>
      </c>
      <c r="P150" s="27">
        <v>58.505850585058511</v>
      </c>
    </row>
    <row r="151" spans="1:16" x14ac:dyDescent="0.25">
      <c r="A151" s="2">
        <v>149</v>
      </c>
      <c r="B151" s="27">
        <f t="shared" si="2"/>
        <v>41.752825847754323</v>
      </c>
      <c r="C151" s="27">
        <v>42.752825847754323</v>
      </c>
      <c r="D151" s="27">
        <v>44.398879775955187</v>
      </c>
      <c r="E151" s="27">
        <v>45.568227290916369</v>
      </c>
      <c r="F151" s="27">
        <v>46.603981194358305</v>
      </c>
      <c r="G151" s="27">
        <v>47.599519903980799</v>
      </c>
      <c r="H151" s="27">
        <v>48.549709941988397</v>
      </c>
      <c r="I151" s="27">
        <v>49.314931493149324</v>
      </c>
      <c r="J151" s="27">
        <v>50.725072507250729</v>
      </c>
      <c r="K151" s="27">
        <v>51.9</v>
      </c>
      <c r="L151" s="27">
        <v>53.220644128825761</v>
      </c>
      <c r="M151" s="27">
        <v>54.846453936180851</v>
      </c>
      <c r="N151" s="27">
        <v>56.035603560356044</v>
      </c>
      <c r="O151" s="27">
        <v>56.991398279655925</v>
      </c>
      <c r="P151" s="27">
        <v>58.245824582458255</v>
      </c>
    </row>
    <row r="152" spans="1:16" x14ac:dyDescent="0.25">
      <c r="A152" s="2">
        <v>150</v>
      </c>
      <c r="B152" s="27">
        <f t="shared" si="2"/>
        <v>41.472741822546759</v>
      </c>
      <c r="C152" s="27">
        <v>42.472741822546759</v>
      </c>
      <c r="D152" s="27">
        <v>44.148829765953188</v>
      </c>
      <c r="E152" s="27">
        <v>45.278111244497808</v>
      </c>
      <c r="F152" s="27">
        <v>46.33390017005101</v>
      </c>
      <c r="G152" s="27">
        <v>47.309461892378472</v>
      </c>
      <c r="H152" s="27">
        <v>48.249649929985999</v>
      </c>
      <c r="I152" s="27">
        <v>49.024902490249033</v>
      </c>
      <c r="J152" s="27">
        <v>50.455045504550462</v>
      </c>
      <c r="K152" s="27">
        <v>51.61</v>
      </c>
      <c r="L152" s="27">
        <v>52.950590118023598</v>
      </c>
      <c r="M152" s="27">
        <v>54.596378913674094</v>
      </c>
      <c r="N152" s="27">
        <v>55.775577557755788</v>
      </c>
      <c r="O152" s="27">
        <v>56.731346269253848</v>
      </c>
      <c r="P152" s="27">
        <v>57.985798579857992</v>
      </c>
    </row>
    <row r="153" spans="1:16" x14ac:dyDescent="0.25">
      <c r="A153" s="2">
        <v>151</v>
      </c>
      <c r="B153" s="27">
        <f t="shared" si="2"/>
        <v>41.202660798239464</v>
      </c>
      <c r="C153" s="27">
        <v>42.202660798239464</v>
      </c>
      <c r="D153" s="27">
        <v>43.888777755551111</v>
      </c>
      <c r="E153" s="27">
        <v>44.977991196478598</v>
      </c>
      <c r="F153" s="27">
        <v>46.063819145743715</v>
      </c>
      <c r="G153" s="27">
        <v>47.039407881576317</v>
      </c>
      <c r="H153" s="27">
        <v>47.969593918783758</v>
      </c>
      <c r="I153" s="27">
        <v>48.734873487348736</v>
      </c>
      <c r="J153" s="27">
        <v>50.185018501850195</v>
      </c>
      <c r="K153" s="27">
        <v>51.32</v>
      </c>
      <c r="L153" s="27">
        <v>52.690538107621521</v>
      </c>
      <c r="M153" s="27">
        <v>54.336300890267076</v>
      </c>
      <c r="N153" s="27">
        <v>55.515551555155518</v>
      </c>
      <c r="O153" s="27">
        <v>56.441288257651529</v>
      </c>
      <c r="P153" s="27">
        <v>57.715771577157724</v>
      </c>
    </row>
    <row r="154" spans="1:16" x14ac:dyDescent="0.25">
      <c r="A154" s="2">
        <v>152</v>
      </c>
      <c r="B154" s="27">
        <f t="shared" si="2"/>
        <v>40.932579773932176</v>
      </c>
      <c r="C154" s="27">
        <v>41.932579773932176</v>
      </c>
      <c r="D154" s="27">
        <v>43.598719743948791</v>
      </c>
      <c r="E154" s="27">
        <v>44.68787515006003</v>
      </c>
      <c r="F154" s="27">
        <v>45.783735120536164</v>
      </c>
      <c r="G154" s="27">
        <v>46.779355871174239</v>
      </c>
      <c r="H154" s="27">
        <v>47.689537907581517</v>
      </c>
      <c r="I154" s="27">
        <v>48.464846484648476</v>
      </c>
      <c r="J154" s="27">
        <v>49.904990499049909</v>
      </c>
      <c r="K154" s="27">
        <v>51.04</v>
      </c>
      <c r="L154" s="27">
        <v>52.430486097219443</v>
      </c>
      <c r="M154" s="27">
        <v>54.056216865059511</v>
      </c>
      <c r="N154" s="27">
        <v>55.255525552555262</v>
      </c>
      <c r="O154" s="27">
        <v>56.161232246449288</v>
      </c>
      <c r="P154" s="27">
        <v>57.455745574557469</v>
      </c>
    </row>
    <row r="155" spans="1:16" x14ac:dyDescent="0.25">
      <c r="A155" s="2">
        <v>153</v>
      </c>
      <c r="B155" s="27">
        <f t="shared" si="2"/>
        <v>40.682504751425427</v>
      </c>
      <c r="C155" s="27">
        <v>41.682504751425427</v>
      </c>
      <c r="D155" s="27">
        <v>43.31866373274655</v>
      </c>
      <c r="E155" s="27">
        <v>44.447779111644664</v>
      </c>
      <c r="F155" s="27">
        <v>45.513654096228869</v>
      </c>
      <c r="G155" s="27">
        <v>46.509301860372069</v>
      </c>
      <c r="H155" s="27">
        <v>47.409481896379269</v>
      </c>
      <c r="I155" s="27">
        <v>48.204820482048213</v>
      </c>
      <c r="J155" s="27">
        <v>49.604960496049614</v>
      </c>
      <c r="K155" s="27">
        <v>50.76</v>
      </c>
      <c r="L155" s="27">
        <v>52.160432086417281</v>
      </c>
      <c r="M155" s="27">
        <v>53.786135840752223</v>
      </c>
      <c r="N155" s="27">
        <v>54.985498549854988</v>
      </c>
      <c r="O155" s="27">
        <v>55.90118023604721</v>
      </c>
      <c r="P155" s="27">
        <v>57.195719571957198</v>
      </c>
    </row>
    <row r="156" spans="1:16" x14ac:dyDescent="0.25">
      <c r="A156" s="2">
        <v>154</v>
      </c>
      <c r="B156" s="27">
        <f t="shared" si="2"/>
        <v>40.422426728018401</v>
      </c>
      <c r="C156" s="27">
        <v>41.422426728018401</v>
      </c>
      <c r="D156" s="27">
        <v>43.058611722344466</v>
      </c>
      <c r="E156" s="27">
        <v>44.207683073229298</v>
      </c>
      <c r="F156" s="27">
        <v>45.243573071921567</v>
      </c>
      <c r="G156" s="27">
        <v>46.249249849969992</v>
      </c>
      <c r="H156" s="27">
        <v>47.129425885177028</v>
      </c>
      <c r="I156" s="27">
        <v>47.924792479247934</v>
      </c>
      <c r="J156" s="27">
        <v>49.314931493149324</v>
      </c>
      <c r="K156" s="27">
        <v>50.49</v>
      </c>
      <c r="L156" s="27">
        <v>51.890378075615125</v>
      </c>
      <c r="M156" s="27">
        <v>53.526057817345198</v>
      </c>
      <c r="N156" s="27">
        <v>54.695469546954698</v>
      </c>
      <c r="O156" s="27">
        <v>55.651130226045204</v>
      </c>
      <c r="P156" s="27">
        <v>56.935693569356943</v>
      </c>
    </row>
    <row r="157" spans="1:16" x14ac:dyDescent="0.25">
      <c r="A157" s="2">
        <v>155</v>
      </c>
      <c r="B157" s="27">
        <f t="shared" si="2"/>
        <v>40.152345703711113</v>
      </c>
      <c r="C157" s="27">
        <v>41.152345703711113</v>
      </c>
      <c r="D157" s="27">
        <v>42.798559711942389</v>
      </c>
      <c r="E157" s="27">
        <v>43.947579031612655</v>
      </c>
      <c r="F157" s="27">
        <v>44.95348604581374</v>
      </c>
      <c r="G157" s="27">
        <v>45.989197839567908</v>
      </c>
      <c r="H157" s="27">
        <v>46.859371874374872</v>
      </c>
      <c r="I157" s="27">
        <v>47.654765476547659</v>
      </c>
      <c r="J157" s="27">
        <v>49.044904490449049</v>
      </c>
      <c r="K157" s="27">
        <v>50.23</v>
      </c>
      <c r="L157" s="27">
        <v>51.600320064012806</v>
      </c>
      <c r="M157" s="27">
        <v>53.245973792137633</v>
      </c>
      <c r="N157" s="27">
        <v>54.415441544154419</v>
      </c>
      <c r="O157" s="27">
        <v>55.401080216043205</v>
      </c>
      <c r="P157" s="27">
        <v>56.665666566656668</v>
      </c>
    </row>
    <row r="158" spans="1:16" x14ac:dyDescent="0.25">
      <c r="A158" s="2">
        <v>156</v>
      </c>
      <c r="B158" s="27">
        <f t="shared" si="2"/>
        <v>39.872261678503548</v>
      </c>
      <c r="C158" s="27">
        <v>40.872261678503548</v>
      </c>
      <c r="D158" s="27">
        <v>42.558511702340461</v>
      </c>
      <c r="E158" s="27">
        <v>43.657462985194087</v>
      </c>
      <c r="F158" s="27">
        <v>44.663399019705906</v>
      </c>
      <c r="G158" s="27">
        <v>45.709141828365674</v>
      </c>
      <c r="H158" s="27">
        <v>46.599319863972795</v>
      </c>
      <c r="I158" s="27">
        <v>47.394739473947403</v>
      </c>
      <c r="J158" s="27">
        <v>48.784878487848793</v>
      </c>
      <c r="K158" s="27">
        <v>49.97</v>
      </c>
      <c r="L158" s="27">
        <v>51.340268053610721</v>
      </c>
      <c r="M158" s="27">
        <v>52.985895768730614</v>
      </c>
      <c r="N158" s="27">
        <v>54.165416541654167</v>
      </c>
      <c r="O158" s="27">
        <v>55.131026205241042</v>
      </c>
      <c r="P158" s="27">
        <v>56.415641564156417</v>
      </c>
    </row>
    <row r="159" spans="1:16" x14ac:dyDescent="0.25">
      <c r="A159" s="2">
        <v>157</v>
      </c>
      <c r="B159" s="27">
        <f t="shared" si="2"/>
        <v>39.592177653295984</v>
      </c>
      <c r="C159" s="27">
        <v>40.592177653295984</v>
      </c>
      <c r="D159" s="27">
        <v>42.308461692338462</v>
      </c>
      <c r="E159" s="27">
        <v>43.387354941976795</v>
      </c>
      <c r="F159" s="27">
        <v>44.403320996298888</v>
      </c>
      <c r="G159" s="27">
        <v>45.419083816763347</v>
      </c>
      <c r="H159" s="27">
        <v>46.329265853170632</v>
      </c>
      <c r="I159" s="27">
        <v>47.134713471347141</v>
      </c>
      <c r="J159" s="27">
        <v>48.494849484948503</v>
      </c>
      <c r="K159" s="27">
        <v>49.69</v>
      </c>
      <c r="L159" s="27">
        <v>51.080216043208637</v>
      </c>
      <c r="M159" s="27">
        <v>52.715814744423326</v>
      </c>
      <c r="N159" s="27">
        <v>53.925392539253934</v>
      </c>
      <c r="O159" s="27">
        <v>54.880976195239043</v>
      </c>
      <c r="P159" s="27">
        <v>56.175617561756184</v>
      </c>
    </row>
    <row r="160" spans="1:16" x14ac:dyDescent="0.25">
      <c r="A160" s="2">
        <v>158</v>
      </c>
      <c r="B160" s="27">
        <f t="shared" si="2"/>
        <v>39.332099629888965</v>
      </c>
      <c r="C160" s="27">
        <v>40.332099629888965</v>
      </c>
      <c r="D160" s="27">
        <v>42.058411682336462</v>
      </c>
      <c r="E160" s="27">
        <v>43.137254901960787</v>
      </c>
      <c r="F160" s="27">
        <v>44.153245973792139</v>
      </c>
      <c r="G160" s="27">
        <v>45.15903180636127</v>
      </c>
      <c r="H160" s="27">
        <v>46.069213842768555</v>
      </c>
      <c r="I160" s="27">
        <v>46.834683468346839</v>
      </c>
      <c r="J160" s="27">
        <v>48.214821482148224</v>
      </c>
      <c r="K160" s="27">
        <v>49.41</v>
      </c>
      <c r="L160" s="27">
        <v>50.800160032006396</v>
      </c>
      <c r="M160" s="27">
        <v>52.465739721916577</v>
      </c>
      <c r="N160" s="27">
        <v>53.665366536653671</v>
      </c>
      <c r="O160" s="27">
        <v>54.620924184836966</v>
      </c>
      <c r="P160" s="27">
        <v>55.925592559255932</v>
      </c>
    </row>
    <row r="161" spans="1:16" x14ac:dyDescent="0.25">
      <c r="A161" s="2">
        <v>159</v>
      </c>
      <c r="B161" s="27">
        <f t="shared" si="2"/>
        <v>39.082024607382209</v>
      </c>
      <c r="C161" s="27">
        <v>40.082024607382209</v>
      </c>
      <c r="D161" s="27">
        <v>41.788357671534307</v>
      </c>
      <c r="E161" s="27">
        <v>42.887154861944779</v>
      </c>
      <c r="F161" s="27">
        <v>43.893167950385113</v>
      </c>
      <c r="G161" s="27">
        <v>44.898979795959193</v>
      </c>
      <c r="H161" s="27">
        <v>45.799159831966392</v>
      </c>
      <c r="I161" s="27">
        <v>46.544654465446548</v>
      </c>
      <c r="J161" s="27">
        <v>47.964796479647973</v>
      </c>
      <c r="K161" s="27">
        <v>49.14</v>
      </c>
      <c r="L161" s="27">
        <v>50.520104020804155</v>
      </c>
      <c r="M161" s="27">
        <v>52.215664699409821</v>
      </c>
      <c r="N161" s="27">
        <v>53.41534153415342</v>
      </c>
      <c r="O161" s="27">
        <v>54.35087017403481</v>
      </c>
      <c r="P161" s="27">
        <v>55.675567556755688</v>
      </c>
    </row>
    <row r="162" spans="1:16" x14ac:dyDescent="0.25">
      <c r="A162" s="2">
        <v>160</v>
      </c>
      <c r="B162" s="27">
        <f t="shared" si="2"/>
        <v>38.841952585775729</v>
      </c>
      <c r="C162" s="27">
        <v>39.841952585775729</v>
      </c>
      <c r="D162" s="27">
        <v>41.508301660332066</v>
      </c>
      <c r="E162" s="27">
        <v>42.637054821928778</v>
      </c>
      <c r="F162" s="27">
        <v>43.633089926978087</v>
      </c>
      <c r="G162" s="27">
        <v>44.62892578515703</v>
      </c>
      <c r="H162" s="27">
        <v>45.529105821164237</v>
      </c>
      <c r="I162" s="27">
        <v>46.274627462746281</v>
      </c>
      <c r="J162" s="27">
        <v>47.744774477447756</v>
      </c>
      <c r="K162" s="27">
        <v>48.88</v>
      </c>
      <c r="L162" s="27">
        <v>50.250050010001999</v>
      </c>
      <c r="M162" s="27">
        <v>51.965589676903072</v>
      </c>
      <c r="N162" s="27">
        <v>53.165316531653168</v>
      </c>
      <c r="O162" s="27">
        <v>54.090818163632726</v>
      </c>
      <c r="P162" s="27">
        <v>55.425542554255436</v>
      </c>
    </row>
    <row r="163" spans="1:16" x14ac:dyDescent="0.25">
      <c r="A163" s="2">
        <v>161</v>
      </c>
      <c r="B163" s="27">
        <f t="shared" si="2"/>
        <v>38.60188056416925</v>
      </c>
      <c r="C163" s="27">
        <v>39.60188056416925</v>
      </c>
      <c r="D163" s="27">
        <v>41.228245649129825</v>
      </c>
      <c r="E163" s="27">
        <v>42.366946778711494</v>
      </c>
      <c r="F163" s="27">
        <v>43.363008902670799</v>
      </c>
      <c r="G163" s="27">
        <v>44.368873774754945</v>
      </c>
      <c r="H163" s="27">
        <v>45.269053810762145</v>
      </c>
      <c r="I163" s="27">
        <v>46.014601460146018</v>
      </c>
      <c r="J163" s="27">
        <v>47.474747474747481</v>
      </c>
      <c r="K163" s="27">
        <v>48.62</v>
      </c>
      <c r="L163" s="27">
        <v>49.989997999599915</v>
      </c>
      <c r="M163" s="27">
        <v>51.705511653496046</v>
      </c>
      <c r="N163" s="27">
        <v>52.895289528952901</v>
      </c>
      <c r="O163" s="27">
        <v>53.850770154030805</v>
      </c>
      <c r="P163" s="27">
        <v>55.185518551855196</v>
      </c>
    </row>
    <row r="164" spans="1:16" x14ac:dyDescent="0.25">
      <c r="A164" s="2">
        <v>162</v>
      </c>
      <c r="B164" s="27">
        <f t="shared" si="2"/>
        <v>38.36180854256277</v>
      </c>
      <c r="C164" s="27">
        <v>39.36180854256277</v>
      </c>
      <c r="D164" s="27">
        <v>40.958191638327669</v>
      </c>
      <c r="E164" s="27">
        <v>42.096838735494202</v>
      </c>
      <c r="F164" s="27">
        <v>43.102930879263781</v>
      </c>
      <c r="G164" s="27">
        <v>44.108821764352868</v>
      </c>
      <c r="H164" s="27">
        <v>44.998999799959989</v>
      </c>
      <c r="I164" s="27">
        <v>45.764576457645767</v>
      </c>
      <c r="J164" s="27">
        <v>47.174717471747186</v>
      </c>
      <c r="K164" s="27">
        <v>48.36</v>
      </c>
      <c r="L164" s="27">
        <v>49.729945989197837</v>
      </c>
      <c r="M164" s="27">
        <v>51.45543663098929</v>
      </c>
      <c r="N164" s="27">
        <v>52.625262526252627</v>
      </c>
      <c r="O164" s="27">
        <v>53.610722144428884</v>
      </c>
      <c r="P164" s="27">
        <v>54.915491549154922</v>
      </c>
    </row>
    <row r="165" spans="1:16" x14ac:dyDescent="0.25">
      <c r="A165" s="2">
        <v>163</v>
      </c>
      <c r="B165" s="27">
        <f t="shared" si="2"/>
        <v>38.121736520956283</v>
      </c>
      <c r="C165" s="27">
        <v>39.121736520956283</v>
      </c>
      <c r="D165" s="27">
        <v>40.728145629125819</v>
      </c>
      <c r="E165" s="27">
        <v>41.83673469387756</v>
      </c>
      <c r="F165" s="27">
        <v>42.842852855856755</v>
      </c>
      <c r="G165" s="27">
        <v>43.848769753950791</v>
      </c>
      <c r="H165" s="27">
        <v>44.738947789557905</v>
      </c>
      <c r="I165" s="27">
        <v>45.514551455145522</v>
      </c>
      <c r="J165" s="27">
        <v>46.914691469146916</v>
      </c>
      <c r="K165" s="27">
        <v>48.1</v>
      </c>
      <c r="L165" s="27">
        <v>49.46989397879576</v>
      </c>
      <c r="M165" s="27">
        <v>51.205361608482541</v>
      </c>
      <c r="N165" s="27">
        <v>52.395239523952405</v>
      </c>
      <c r="O165" s="27">
        <v>53.370674134826963</v>
      </c>
      <c r="P165" s="27">
        <v>54.66546654665467</v>
      </c>
    </row>
    <row r="166" spans="1:16" x14ac:dyDescent="0.25">
      <c r="A166" s="2">
        <v>164</v>
      </c>
      <c r="B166" s="27">
        <f t="shared" si="2"/>
        <v>37.871661498449534</v>
      </c>
      <c r="C166" s="27">
        <v>38.871661498449534</v>
      </c>
      <c r="D166" s="27">
        <v>40.488097619523899</v>
      </c>
      <c r="E166" s="27">
        <v>41.586634653861552</v>
      </c>
      <c r="F166" s="27">
        <v>42.582774832449729</v>
      </c>
      <c r="G166" s="27">
        <v>43.56871374274855</v>
      </c>
      <c r="H166" s="27">
        <v>44.478895779155827</v>
      </c>
      <c r="I166" s="27">
        <v>45.264526452645271</v>
      </c>
      <c r="J166" s="27">
        <v>46.684668466846688</v>
      </c>
      <c r="K166" s="27">
        <v>47.82</v>
      </c>
      <c r="L166" s="27">
        <v>49.219843968793761</v>
      </c>
      <c r="M166" s="27">
        <v>50.955286585975784</v>
      </c>
      <c r="N166" s="27">
        <v>52.155215521552158</v>
      </c>
      <c r="O166" s="27">
        <v>53.120624124824964</v>
      </c>
      <c r="P166" s="27">
        <v>54.445444544454453</v>
      </c>
    </row>
    <row r="167" spans="1:16" x14ac:dyDescent="0.25">
      <c r="A167" s="2">
        <v>165</v>
      </c>
      <c r="B167" s="27">
        <f t="shared" si="2"/>
        <v>37.621586475942777</v>
      </c>
      <c r="C167" s="27">
        <v>38.621586475942777</v>
      </c>
      <c r="D167" s="27">
        <v>40.248049609921985</v>
      </c>
      <c r="E167" s="27">
        <v>41.326530612244909</v>
      </c>
      <c r="F167" s="27">
        <v>42.33269980994298</v>
      </c>
      <c r="G167" s="27">
        <v>43.288657731546309</v>
      </c>
      <c r="H167" s="27">
        <v>44.21884376875375</v>
      </c>
      <c r="I167" s="27">
        <v>44.994499449945003</v>
      </c>
      <c r="J167" s="27">
        <v>46.424642464246432</v>
      </c>
      <c r="K167" s="27">
        <v>47.56</v>
      </c>
      <c r="L167" s="27">
        <v>48.979795959191833</v>
      </c>
      <c r="M167" s="27">
        <v>50.695208562568766</v>
      </c>
      <c r="N167" s="27">
        <v>51.895189518951902</v>
      </c>
      <c r="O167" s="27">
        <v>52.860572114422887</v>
      </c>
      <c r="P167" s="27">
        <v>54.215421542154225</v>
      </c>
    </row>
    <row r="168" spans="1:16" x14ac:dyDescent="0.25">
      <c r="A168" s="2">
        <v>166</v>
      </c>
      <c r="B168" s="27">
        <f t="shared" si="2"/>
        <v>37.371511453436028</v>
      </c>
      <c r="C168" s="27">
        <v>38.371511453436028</v>
      </c>
      <c r="D168" s="27">
        <v>40.008001600320064</v>
      </c>
      <c r="E168" s="27">
        <v>41.056422569027617</v>
      </c>
      <c r="F168" s="27">
        <v>42.092627788336493</v>
      </c>
      <c r="G168" s="27">
        <v>43.008601720344068</v>
      </c>
      <c r="H168" s="27">
        <v>43.968793758751751</v>
      </c>
      <c r="I168" s="27">
        <v>44.724472447244729</v>
      </c>
      <c r="J168" s="27">
        <v>46.144614461446153</v>
      </c>
      <c r="K168" s="27">
        <v>47.31</v>
      </c>
      <c r="L168" s="27">
        <v>48.719743948789755</v>
      </c>
      <c r="M168" s="27">
        <v>50.425127538261471</v>
      </c>
      <c r="N168" s="27">
        <v>51.635163516351646</v>
      </c>
      <c r="O168" s="27">
        <v>52.630526105221037</v>
      </c>
      <c r="P168" s="27">
        <v>53.965396539653973</v>
      </c>
    </row>
    <row r="169" spans="1:16" x14ac:dyDescent="0.25">
      <c r="A169" s="2">
        <v>167</v>
      </c>
      <c r="B169" s="27">
        <f t="shared" si="2"/>
        <v>37.131439431829541</v>
      </c>
      <c r="C169" s="27">
        <v>38.131439431829541</v>
      </c>
      <c r="D169" s="27">
        <v>39.767953590718143</v>
      </c>
      <c r="E169" s="27">
        <v>40.816326530612251</v>
      </c>
      <c r="F169" s="27">
        <v>41.842552765829744</v>
      </c>
      <c r="G169" s="27">
        <v>42.74854970994199</v>
      </c>
      <c r="H169" s="27">
        <v>43.718743748749752</v>
      </c>
      <c r="I169" s="27">
        <v>44.464446444644473</v>
      </c>
      <c r="J169" s="27">
        <v>45.894589458945902</v>
      </c>
      <c r="K169" s="27">
        <v>47.06</v>
      </c>
      <c r="L169" s="27">
        <v>48.449689937987593</v>
      </c>
      <c r="M169" s="27">
        <v>50.145043513053913</v>
      </c>
      <c r="N169" s="27">
        <v>51.395139513951406</v>
      </c>
      <c r="O169" s="27">
        <v>52.400480096019201</v>
      </c>
      <c r="P169" s="27">
        <v>53.725372537253733</v>
      </c>
    </row>
    <row r="170" spans="1:16" x14ac:dyDescent="0.25">
      <c r="A170" s="2">
        <v>168</v>
      </c>
      <c r="B170" s="27">
        <f t="shared" si="2"/>
        <v>36.891367410223069</v>
      </c>
      <c r="C170" s="27">
        <v>37.891367410223069</v>
      </c>
      <c r="D170" s="27">
        <v>39.537907581516301</v>
      </c>
      <c r="E170" s="27">
        <v>40.596238495398161</v>
      </c>
      <c r="F170" s="27">
        <v>41.592477743322995</v>
      </c>
      <c r="G170" s="27">
        <v>42.518503700740148</v>
      </c>
      <c r="H170" s="27">
        <v>43.458691738347667</v>
      </c>
      <c r="I170" s="27">
        <v>44.214421442144221</v>
      </c>
      <c r="J170" s="27">
        <v>45.654565456545662</v>
      </c>
      <c r="K170" s="27">
        <v>46.8</v>
      </c>
      <c r="L170" s="27">
        <v>48.189637927585515</v>
      </c>
      <c r="M170" s="27">
        <v>49.894968490547164</v>
      </c>
      <c r="N170" s="27">
        <v>51.145114511451155</v>
      </c>
      <c r="O170" s="27">
        <v>52.150430086017202</v>
      </c>
      <c r="P170" s="27">
        <v>53.485348534853493</v>
      </c>
    </row>
    <row r="171" spans="1:16" x14ac:dyDescent="0.25">
      <c r="A171" s="2">
        <v>169</v>
      </c>
      <c r="B171" s="27">
        <f t="shared" si="2"/>
        <v>36.641292387716312</v>
      </c>
      <c r="C171" s="27">
        <v>37.641292387716312</v>
      </c>
      <c r="D171" s="27">
        <v>39.29785957191438</v>
      </c>
      <c r="E171" s="27">
        <v>40.34613845538216</v>
      </c>
      <c r="F171" s="27">
        <v>41.322396719015707</v>
      </c>
      <c r="G171" s="27">
        <v>42.288457691538305</v>
      </c>
      <c r="H171" s="27">
        <v>43.218643728745747</v>
      </c>
      <c r="I171" s="27">
        <v>43.96439643964397</v>
      </c>
      <c r="J171" s="27">
        <v>45.40454045404541</v>
      </c>
      <c r="K171" s="27">
        <v>46.55</v>
      </c>
      <c r="L171" s="27">
        <v>47.949589917983594</v>
      </c>
      <c r="M171" s="27">
        <v>49.664899469840947</v>
      </c>
      <c r="N171" s="27">
        <v>50.895089508950903</v>
      </c>
      <c r="O171" s="27">
        <v>51.910382076415281</v>
      </c>
      <c r="P171" s="27">
        <v>53.255325532553265</v>
      </c>
    </row>
    <row r="172" spans="1:16" x14ac:dyDescent="0.25">
      <c r="A172" s="2">
        <v>170</v>
      </c>
      <c r="B172" s="27">
        <f t="shared" si="2"/>
        <v>36.401220366109833</v>
      </c>
      <c r="C172" s="27">
        <v>37.401220366109833</v>
      </c>
      <c r="D172" s="27">
        <v>39.057811562312459</v>
      </c>
      <c r="E172" s="27">
        <v>40.096038415366152</v>
      </c>
      <c r="F172" s="27">
        <v>41.08232469740922</v>
      </c>
      <c r="G172" s="27">
        <v>42.058411682336462</v>
      </c>
      <c r="H172" s="27">
        <v>42.968593718743747</v>
      </c>
      <c r="I172" s="27">
        <v>43.72437243724373</v>
      </c>
      <c r="J172" s="27">
        <v>45.144514451445154</v>
      </c>
      <c r="K172" s="27">
        <v>46.28</v>
      </c>
      <c r="L172" s="27">
        <v>47.709541908381674</v>
      </c>
      <c r="M172" s="27">
        <v>49.434830449134736</v>
      </c>
      <c r="N172" s="27">
        <v>50.655065506550663</v>
      </c>
      <c r="O172" s="27">
        <v>51.670334066813354</v>
      </c>
      <c r="P172" s="27">
        <v>53.005300530053013</v>
      </c>
    </row>
    <row r="173" spans="1:16" x14ac:dyDescent="0.25">
      <c r="A173" s="2">
        <v>171</v>
      </c>
      <c r="B173" s="27">
        <f t="shared" si="2"/>
        <v>36.151145343603076</v>
      </c>
      <c r="C173" s="27">
        <v>37.151145343603076</v>
      </c>
      <c r="D173" s="27">
        <v>38.817763552710545</v>
      </c>
      <c r="E173" s="27">
        <v>39.845938375350144</v>
      </c>
      <c r="F173" s="27">
        <v>40.85225567670301</v>
      </c>
      <c r="G173" s="27">
        <v>41.808361672334463</v>
      </c>
      <c r="H173" s="27">
        <v>42.728545709141827</v>
      </c>
      <c r="I173" s="27">
        <v>43.464346434643474</v>
      </c>
      <c r="J173" s="27">
        <v>44.894489448944903</v>
      </c>
      <c r="K173" s="27">
        <v>46.03</v>
      </c>
      <c r="L173" s="27">
        <v>47.469493898779753</v>
      </c>
      <c r="M173" s="27">
        <v>49.204761428428526</v>
      </c>
      <c r="N173" s="27">
        <v>50.415041504150416</v>
      </c>
      <c r="O173" s="27">
        <v>51.43028605721144</v>
      </c>
      <c r="P173" s="27">
        <v>52.765276527652773</v>
      </c>
    </row>
    <row r="174" spans="1:16" x14ac:dyDescent="0.25">
      <c r="A174" s="2">
        <v>172</v>
      </c>
      <c r="B174" s="27">
        <f t="shared" si="2"/>
        <v>35.901070321096327</v>
      </c>
      <c r="C174" s="27">
        <v>36.901070321096327</v>
      </c>
      <c r="D174" s="27">
        <v>38.557711542308461</v>
      </c>
      <c r="E174" s="27">
        <v>39.605842336934785</v>
      </c>
      <c r="F174" s="27">
        <v>40.61218365509653</v>
      </c>
      <c r="G174" s="27">
        <v>41.548309661932386</v>
      </c>
      <c r="H174" s="27">
        <v>42.478495699139827</v>
      </c>
      <c r="I174" s="27">
        <v>43.1943194319432</v>
      </c>
      <c r="J174" s="27">
        <v>44.624462446244628</v>
      </c>
      <c r="K174" s="27">
        <v>45.79</v>
      </c>
      <c r="L174" s="27">
        <v>47.229445889177832</v>
      </c>
      <c r="M174" s="27">
        <v>48.9446834050215</v>
      </c>
      <c r="N174" s="27">
        <v>50.165016501650172</v>
      </c>
      <c r="O174" s="27">
        <v>51.190238047609519</v>
      </c>
      <c r="P174" s="27">
        <v>52.525252525252533</v>
      </c>
    </row>
    <row r="175" spans="1:16" x14ac:dyDescent="0.25">
      <c r="A175" s="2">
        <v>173</v>
      </c>
      <c r="B175" s="27">
        <f t="shared" si="2"/>
        <v>35.67100130039011</v>
      </c>
      <c r="C175" s="27">
        <v>36.67100130039011</v>
      </c>
      <c r="D175" s="27">
        <v>38.31766353270654</v>
      </c>
      <c r="E175" s="27">
        <v>39.375750300120053</v>
      </c>
      <c r="F175" s="27">
        <v>40.352105631689504</v>
      </c>
      <c r="G175" s="27">
        <v>41.298259651930387</v>
      </c>
      <c r="H175" s="27">
        <v>42.228445689137821</v>
      </c>
      <c r="I175" s="27">
        <v>42.944294429442948</v>
      </c>
      <c r="J175" s="27">
        <v>44.374437443744377</v>
      </c>
      <c r="K175" s="27">
        <v>45.55</v>
      </c>
      <c r="L175" s="27">
        <v>46.989397879575911</v>
      </c>
      <c r="M175" s="27">
        <v>48.664599379813943</v>
      </c>
      <c r="N175" s="27">
        <v>49.924992499249932</v>
      </c>
      <c r="O175" s="27">
        <v>50.94018803760752</v>
      </c>
      <c r="P175" s="27">
        <v>52.285228522852293</v>
      </c>
    </row>
    <row r="176" spans="1:16" x14ac:dyDescent="0.25">
      <c r="A176" s="2">
        <v>174</v>
      </c>
      <c r="B176" s="27">
        <f t="shared" si="2"/>
        <v>35.430929278783637</v>
      </c>
      <c r="C176" s="27">
        <v>36.430929278783637</v>
      </c>
      <c r="D176" s="27">
        <v>38.107621524304861</v>
      </c>
      <c r="E176" s="27">
        <v>39.135654261704687</v>
      </c>
      <c r="F176" s="27">
        <v>40.102030609182755</v>
      </c>
      <c r="G176" s="27">
        <v>41.068213642728544</v>
      </c>
      <c r="H176" s="27">
        <v>41.978395679135822</v>
      </c>
      <c r="I176" s="27">
        <v>42.704270427042715</v>
      </c>
      <c r="J176" s="27">
        <v>44.134413441344144</v>
      </c>
      <c r="K176" s="27">
        <v>45.3</v>
      </c>
      <c r="L176" s="27">
        <v>46.739347869573912</v>
      </c>
      <c r="M176" s="27">
        <v>48.404521356406917</v>
      </c>
      <c r="N176" s="27">
        <v>49.684968496849692</v>
      </c>
      <c r="O176" s="27">
        <v>50.700140028005599</v>
      </c>
      <c r="P176" s="27">
        <v>52.065206520652076</v>
      </c>
    </row>
    <row r="177" spans="1:16" x14ac:dyDescent="0.25">
      <c r="A177" s="2">
        <v>175</v>
      </c>
      <c r="B177" s="27">
        <f t="shared" si="2"/>
        <v>35.19085725717715</v>
      </c>
      <c r="C177" s="27">
        <v>36.19085725717715</v>
      </c>
      <c r="D177" s="27">
        <v>37.887577515503104</v>
      </c>
      <c r="E177" s="27">
        <v>38.905562224889962</v>
      </c>
      <c r="F177" s="27">
        <v>39.851955586676006</v>
      </c>
      <c r="G177" s="27">
        <v>40.838167633526702</v>
      </c>
      <c r="H177" s="27">
        <v>41.718343668733745</v>
      </c>
      <c r="I177" s="27">
        <v>42.474247424742479</v>
      </c>
      <c r="J177" s="27">
        <v>43.904390439043908</v>
      </c>
      <c r="K177" s="27">
        <v>45.04</v>
      </c>
      <c r="L177" s="27">
        <v>46.489297859571906</v>
      </c>
      <c r="M177" s="27">
        <v>48.184455336600976</v>
      </c>
      <c r="N177" s="27">
        <v>49.444944494449452</v>
      </c>
      <c r="O177" s="27">
        <v>50.480096019203835</v>
      </c>
      <c r="P177" s="27">
        <v>51.83518351835184</v>
      </c>
    </row>
    <row r="178" spans="1:16" x14ac:dyDescent="0.25">
      <c r="A178" s="2">
        <v>176</v>
      </c>
      <c r="B178" s="27">
        <f t="shared" si="2"/>
        <v>34.96078823647094</v>
      </c>
      <c r="C178" s="27">
        <v>35.96078823647094</v>
      </c>
      <c r="D178" s="27">
        <v>37.657531506301254</v>
      </c>
      <c r="E178" s="27">
        <v>38.665466186474596</v>
      </c>
      <c r="F178" s="27">
        <v>39.621886565969788</v>
      </c>
      <c r="G178" s="27">
        <v>40.598119623924788</v>
      </c>
      <c r="H178" s="27">
        <v>41.458291658331667</v>
      </c>
      <c r="I178" s="27">
        <v>42.234223422342239</v>
      </c>
      <c r="J178" s="27">
        <v>43.664366436643668</v>
      </c>
      <c r="K178" s="27">
        <v>44.78</v>
      </c>
      <c r="L178" s="27">
        <v>46.229245849169828</v>
      </c>
      <c r="M178" s="27">
        <v>47.954386315894766</v>
      </c>
      <c r="N178" s="27">
        <v>49.1949194919492</v>
      </c>
      <c r="O178" s="27">
        <v>50.230046009201835</v>
      </c>
      <c r="P178" s="27">
        <v>51.585158515851589</v>
      </c>
    </row>
    <row r="179" spans="1:16" x14ac:dyDescent="0.25">
      <c r="A179" s="2">
        <v>177</v>
      </c>
      <c r="B179" s="27">
        <f t="shared" si="2"/>
        <v>34.730719215764729</v>
      </c>
      <c r="C179" s="27">
        <v>35.730719215764729</v>
      </c>
      <c r="D179" s="27">
        <v>37.417483496699333</v>
      </c>
      <c r="E179" s="27">
        <v>38.415366146458588</v>
      </c>
      <c r="F179" s="27">
        <v>39.391817545263578</v>
      </c>
      <c r="G179" s="27">
        <v>40.368073614722945</v>
      </c>
      <c r="H179" s="27">
        <v>41.228245649129825</v>
      </c>
      <c r="I179" s="27">
        <v>41.984198419841988</v>
      </c>
      <c r="J179" s="27">
        <v>43.414341434143417</v>
      </c>
      <c r="K179" s="27">
        <v>44.55</v>
      </c>
      <c r="L179" s="27">
        <v>45.969193838767751</v>
      </c>
      <c r="M179" s="27">
        <v>47.724317295188555</v>
      </c>
      <c r="N179" s="27">
        <v>48.964896489648972</v>
      </c>
      <c r="O179" s="27">
        <v>49.969993998799758</v>
      </c>
      <c r="P179" s="27">
        <v>51.35513551355136</v>
      </c>
    </row>
    <row r="180" spans="1:16" x14ac:dyDescent="0.25">
      <c r="A180" s="2">
        <v>178</v>
      </c>
      <c r="B180" s="27">
        <f t="shared" si="2"/>
        <v>34.510653195958788</v>
      </c>
      <c r="C180" s="27">
        <v>35.510653195958788</v>
      </c>
      <c r="D180" s="27">
        <v>37.177435487097419</v>
      </c>
      <c r="E180" s="27">
        <v>38.185274109643863</v>
      </c>
      <c r="F180" s="27">
        <v>39.16174852455736</v>
      </c>
      <c r="G180" s="27">
        <v>40.128025605121017</v>
      </c>
      <c r="H180" s="27">
        <v>41.00820164032806</v>
      </c>
      <c r="I180" s="27">
        <v>41.734173417341736</v>
      </c>
      <c r="J180" s="27">
        <v>43.174317431743184</v>
      </c>
      <c r="K180" s="27">
        <v>44.31</v>
      </c>
      <c r="L180" s="27">
        <v>45.739147829565908</v>
      </c>
      <c r="M180" s="27">
        <v>47.484245273582069</v>
      </c>
      <c r="N180" s="27">
        <v>48.734873487348736</v>
      </c>
      <c r="O180" s="27">
        <v>49.719943988797759</v>
      </c>
      <c r="P180" s="27">
        <v>51.135113511351143</v>
      </c>
    </row>
    <row r="181" spans="1:16" x14ac:dyDescent="0.25">
      <c r="A181" s="2">
        <v>179</v>
      </c>
      <c r="B181" s="27">
        <f t="shared" si="2"/>
        <v>34.290587176152847</v>
      </c>
      <c r="C181" s="27">
        <v>35.290587176152847</v>
      </c>
      <c r="D181" s="27">
        <v>36.96739347869574</v>
      </c>
      <c r="E181" s="27">
        <v>37.955182072829132</v>
      </c>
      <c r="F181" s="27">
        <v>38.931679503851157</v>
      </c>
      <c r="G181" s="27">
        <v>39.857971594318862</v>
      </c>
      <c r="H181" s="27">
        <v>40.778155631126225</v>
      </c>
      <c r="I181" s="27">
        <v>41.494149414941504</v>
      </c>
      <c r="J181" s="27">
        <v>42.944294429442948</v>
      </c>
      <c r="K181" s="27">
        <v>44.07</v>
      </c>
      <c r="L181" s="27">
        <v>45.529105821164237</v>
      </c>
      <c r="M181" s="27">
        <v>47.254176252875858</v>
      </c>
      <c r="N181" s="27">
        <v>48.494849484948503</v>
      </c>
      <c r="O181" s="27">
        <v>49.479895979195838</v>
      </c>
      <c r="P181" s="27">
        <v>50.905090509050908</v>
      </c>
    </row>
    <row r="182" spans="1:16" x14ac:dyDescent="0.25">
      <c r="A182" s="2">
        <v>180</v>
      </c>
      <c r="B182" s="27">
        <f t="shared" si="2"/>
        <v>34.080524157247169</v>
      </c>
      <c r="C182" s="27">
        <v>35.080524157247169</v>
      </c>
      <c r="D182" s="27">
        <v>36.727345469093819</v>
      </c>
      <c r="E182" s="27">
        <v>37.725090036014414</v>
      </c>
      <c r="F182" s="27">
        <v>38.69160748224467</v>
      </c>
      <c r="G182" s="27">
        <v>39.607921584316863</v>
      </c>
      <c r="H182" s="27">
        <v>40.538107621524304</v>
      </c>
      <c r="I182" s="27">
        <v>41.254125412541256</v>
      </c>
      <c r="J182" s="27">
        <v>42.704270427042715</v>
      </c>
      <c r="K182" s="27">
        <v>43.84</v>
      </c>
      <c r="L182" s="27">
        <v>45.27905581116223</v>
      </c>
      <c r="M182" s="27">
        <v>47.004101230369109</v>
      </c>
      <c r="N182" s="27">
        <v>48.264826482648267</v>
      </c>
      <c r="O182" s="27">
        <v>49.259851970394074</v>
      </c>
      <c r="P182" s="27">
        <v>50.685068506850691</v>
      </c>
    </row>
    <row r="183" spans="1:16" x14ac:dyDescent="0.25">
      <c r="A183" s="2">
        <v>181</v>
      </c>
      <c r="B183" s="27">
        <f t="shared" si="2"/>
        <v>33.880464139241766</v>
      </c>
      <c r="C183" s="27">
        <v>34.880464139241766</v>
      </c>
      <c r="D183" s="27">
        <v>36.457291458291657</v>
      </c>
      <c r="E183" s="27">
        <v>37.494997999199683</v>
      </c>
      <c r="F183" s="27">
        <v>38.441532459737921</v>
      </c>
      <c r="G183" s="27">
        <v>39.387877575515105</v>
      </c>
      <c r="H183" s="27">
        <v>40.298059611922383</v>
      </c>
      <c r="I183" s="27">
        <v>41.024102410241035</v>
      </c>
      <c r="J183" s="27">
        <v>42.454245424542464</v>
      </c>
      <c r="K183" s="27">
        <v>43.61</v>
      </c>
      <c r="L183" s="27">
        <v>45.029005801160231</v>
      </c>
      <c r="M183" s="27">
        <v>46.774032209662892</v>
      </c>
      <c r="N183" s="27">
        <v>48.034803480348046</v>
      </c>
      <c r="O183" s="27">
        <v>49.029805961192238</v>
      </c>
      <c r="P183" s="27">
        <v>50.465046504650473</v>
      </c>
    </row>
    <row r="184" spans="1:16" x14ac:dyDescent="0.25">
      <c r="A184" s="2">
        <v>182</v>
      </c>
      <c r="B184" s="27">
        <f t="shared" si="2"/>
        <v>33.670401120336095</v>
      </c>
      <c r="C184" s="27">
        <v>34.670401120336095</v>
      </c>
      <c r="D184" s="27">
        <v>36.247249449889978</v>
      </c>
      <c r="E184" s="27">
        <v>37.2749099639856</v>
      </c>
      <c r="F184" s="27">
        <v>38.211463439031711</v>
      </c>
      <c r="G184" s="27">
        <v>39.167833566713341</v>
      </c>
      <c r="H184" s="27">
        <v>40.048009601920384</v>
      </c>
      <c r="I184" s="27">
        <v>40.784078407840788</v>
      </c>
      <c r="J184" s="27">
        <v>42.204220422042212</v>
      </c>
      <c r="K184" s="27">
        <v>43.37</v>
      </c>
      <c r="L184" s="27">
        <v>44.798959791958389</v>
      </c>
      <c r="M184" s="27">
        <v>46.553966189856951</v>
      </c>
      <c r="N184" s="27">
        <v>47.80478047804781</v>
      </c>
      <c r="O184" s="27">
        <v>48.809761952390474</v>
      </c>
      <c r="P184" s="27">
        <v>50.215021502150222</v>
      </c>
    </row>
    <row r="185" spans="1:16" x14ac:dyDescent="0.25">
      <c r="A185" s="2">
        <v>183</v>
      </c>
      <c r="B185" s="27">
        <f t="shared" si="2"/>
        <v>33.46033810143043</v>
      </c>
      <c r="C185" s="27">
        <v>34.46033810143043</v>
      </c>
      <c r="D185" s="27">
        <v>36.057211442288455</v>
      </c>
      <c r="E185" s="27">
        <v>37.044817927170875</v>
      </c>
      <c r="F185" s="27">
        <v>38.001400420126039</v>
      </c>
      <c r="G185" s="27">
        <v>38.937787557511498</v>
      </c>
      <c r="H185" s="27">
        <v>39.797959591918378</v>
      </c>
      <c r="I185" s="27">
        <v>40.534053405340543</v>
      </c>
      <c r="J185" s="27">
        <v>41.974197419741976</v>
      </c>
      <c r="K185" s="27">
        <v>43.12</v>
      </c>
      <c r="L185" s="27">
        <v>44.58891778355671</v>
      </c>
      <c r="M185" s="27">
        <v>46.323897169150747</v>
      </c>
      <c r="N185" s="27">
        <v>47.574757475747582</v>
      </c>
      <c r="O185" s="27">
        <v>48.589717943588717</v>
      </c>
      <c r="P185" s="27">
        <v>49.984998499849986</v>
      </c>
    </row>
    <row r="186" spans="1:16" x14ac:dyDescent="0.25">
      <c r="A186" s="2">
        <v>184</v>
      </c>
      <c r="B186" s="27">
        <f t="shared" si="2"/>
        <v>33.240272081624482</v>
      </c>
      <c r="C186" s="27">
        <v>34.240272081624482</v>
      </c>
      <c r="D186" s="27">
        <v>35.847169433886776</v>
      </c>
      <c r="E186" s="27">
        <v>36.814725890356144</v>
      </c>
      <c r="F186" s="27">
        <v>37.781334400320098</v>
      </c>
      <c r="G186" s="27">
        <v>38.697739547909578</v>
      </c>
      <c r="H186" s="27">
        <v>39.567913582716542</v>
      </c>
      <c r="I186" s="27">
        <v>40.304030403040308</v>
      </c>
      <c r="J186" s="27">
        <v>41.754175417541759</v>
      </c>
      <c r="K186" s="27">
        <v>42.88</v>
      </c>
      <c r="L186" s="27">
        <v>44.368873774754945</v>
      </c>
      <c r="M186" s="27">
        <v>46.09382814844453</v>
      </c>
      <c r="N186" s="27">
        <v>47.344734473447353</v>
      </c>
      <c r="O186" s="27">
        <v>48.369673934786952</v>
      </c>
      <c r="P186" s="27">
        <v>49.764976497649769</v>
      </c>
    </row>
    <row r="187" spans="1:16" x14ac:dyDescent="0.25">
      <c r="A187" s="2">
        <v>185</v>
      </c>
      <c r="B187" s="27">
        <f t="shared" si="2"/>
        <v>33.020206061818541</v>
      </c>
      <c r="C187" s="27">
        <v>34.020206061818541</v>
      </c>
      <c r="D187" s="27">
        <v>35.627125425085012</v>
      </c>
      <c r="E187" s="27">
        <v>36.594637855142061</v>
      </c>
      <c r="F187" s="27">
        <v>37.551265379613881</v>
      </c>
      <c r="G187" s="27">
        <v>38.47769553910782</v>
      </c>
      <c r="H187" s="27">
        <v>39.347869573914785</v>
      </c>
      <c r="I187" s="27">
        <v>40.074007400740079</v>
      </c>
      <c r="J187" s="27">
        <v>41.534153415341542</v>
      </c>
      <c r="K187" s="27">
        <v>42.64</v>
      </c>
      <c r="L187" s="27">
        <v>44.128825765153024</v>
      </c>
      <c r="M187" s="27">
        <v>45.843753125937774</v>
      </c>
      <c r="N187" s="27">
        <v>47.104710471047113</v>
      </c>
      <c r="O187" s="27">
        <v>48.129625925185032</v>
      </c>
      <c r="P187" s="27">
        <v>49.544954495449552</v>
      </c>
    </row>
    <row r="188" spans="1:16" x14ac:dyDescent="0.25">
      <c r="A188" s="2">
        <v>186</v>
      </c>
      <c r="B188" s="27">
        <f t="shared" si="2"/>
        <v>32.8001400420126</v>
      </c>
      <c r="C188" s="27">
        <v>33.8001400420126</v>
      </c>
      <c r="D188" s="27">
        <v>35.397079415883177</v>
      </c>
      <c r="E188" s="27">
        <v>36.384553821528613</v>
      </c>
      <c r="F188" s="27">
        <v>37.311193358007394</v>
      </c>
      <c r="G188" s="27">
        <v>38.247649529905985</v>
      </c>
      <c r="H188" s="27">
        <v>39.127825565113021</v>
      </c>
      <c r="I188" s="27">
        <v>39.853985398539862</v>
      </c>
      <c r="J188" s="27">
        <v>41.294129412941302</v>
      </c>
      <c r="K188" s="27">
        <v>42.4</v>
      </c>
      <c r="L188" s="27">
        <v>43.878775755151025</v>
      </c>
      <c r="M188" s="27">
        <v>45.603681104331301</v>
      </c>
      <c r="N188" s="27">
        <v>46.864686468646873</v>
      </c>
      <c r="O188" s="27">
        <v>47.899579915983196</v>
      </c>
      <c r="P188" s="27">
        <v>49.304930493049312</v>
      </c>
    </row>
    <row r="189" spans="1:16" x14ac:dyDescent="0.25">
      <c r="A189" s="2">
        <v>187</v>
      </c>
      <c r="B189" s="27">
        <f t="shared" si="2"/>
        <v>32.590077023106929</v>
      </c>
      <c r="C189" s="27">
        <v>33.590077023106929</v>
      </c>
      <c r="D189" s="27">
        <v>35.147029405881177</v>
      </c>
      <c r="E189" s="27">
        <v>36.174469787915172</v>
      </c>
      <c r="F189" s="27">
        <v>37.081124337301191</v>
      </c>
      <c r="G189" s="27">
        <v>38.027605521104221</v>
      </c>
      <c r="H189" s="27">
        <v>38.907781556311257</v>
      </c>
      <c r="I189" s="27">
        <v>39.623962396239627</v>
      </c>
      <c r="J189" s="27">
        <v>41.054105410541055</v>
      </c>
      <c r="K189" s="27">
        <v>42.18</v>
      </c>
      <c r="L189" s="27">
        <v>43.64872974594919</v>
      </c>
      <c r="M189" s="27">
        <v>45.383615084525353</v>
      </c>
      <c r="N189" s="27">
        <v>46.634663466346645</v>
      </c>
      <c r="O189" s="27">
        <v>47.689537907581517</v>
      </c>
      <c r="P189" s="27">
        <v>49.084908490849088</v>
      </c>
    </row>
    <row r="190" spans="1:16" x14ac:dyDescent="0.25">
      <c r="A190" s="2">
        <v>188</v>
      </c>
      <c r="B190" s="27">
        <f t="shared" si="2"/>
        <v>32.380014004201257</v>
      </c>
      <c r="C190" s="27">
        <v>33.380014004201257</v>
      </c>
      <c r="D190" s="27">
        <v>34.916983396679328</v>
      </c>
      <c r="E190" s="27">
        <v>35.944377751100447</v>
      </c>
      <c r="F190" s="27">
        <v>36.871061318395519</v>
      </c>
      <c r="G190" s="27">
        <v>37.817563512702542</v>
      </c>
      <c r="H190" s="27">
        <v>38.687737547509499</v>
      </c>
      <c r="I190" s="27">
        <v>39.40394039403941</v>
      </c>
      <c r="J190" s="27">
        <v>40.824082408240827</v>
      </c>
      <c r="K190" s="27">
        <v>41.97</v>
      </c>
      <c r="L190" s="27">
        <v>43.418683736747347</v>
      </c>
      <c r="M190" s="27">
        <v>45.153546063819142</v>
      </c>
      <c r="N190" s="27">
        <v>46.41464146414642</v>
      </c>
      <c r="O190" s="27">
        <v>47.459491898379675</v>
      </c>
      <c r="P190" s="27">
        <v>48.864886488648871</v>
      </c>
    </row>
    <row r="191" spans="1:16" x14ac:dyDescent="0.25">
      <c r="A191" s="2">
        <v>189</v>
      </c>
      <c r="B191" s="27">
        <f t="shared" si="2"/>
        <v>32.169950985295586</v>
      </c>
      <c r="C191" s="27">
        <v>33.169950985295586</v>
      </c>
      <c r="D191" s="27">
        <v>34.726945389077812</v>
      </c>
      <c r="E191" s="27">
        <v>35.714285714285722</v>
      </c>
      <c r="F191" s="27">
        <v>36.691007302190656</v>
      </c>
      <c r="G191" s="27">
        <v>37.587517503500699</v>
      </c>
      <c r="H191" s="27">
        <v>38.467693538707742</v>
      </c>
      <c r="I191" s="27">
        <v>39.173917391739181</v>
      </c>
      <c r="J191" s="27">
        <v>40.60406040604061</v>
      </c>
      <c r="K191" s="27">
        <v>41.75</v>
      </c>
      <c r="L191" s="27">
        <v>43.188637727545505</v>
      </c>
      <c r="M191" s="27">
        <v>44.923477043112925</v>
      </c>
      <c r="N191" s="27">
        <v>46.194619461946196</v>
      </c>
      <c r="O191" s="27">
        <v>47.229445889177832</v>
      </c>
      <c r="P191" s="27">
        <v>48.644864486448654</v>
      </c>
    </row>
    <row r="192" spans="1:16" x14ac:dyDescent="0.25">
      <c r="A192" s="2">
        <v>190</v>
      </c>
      <c r="B192" s="27">
        <f t="shared" si="2"/>
        <v>31.939881964589375</v>
      </c>
      <c r="C192" s="27">
        <v>32.939881964589375</v>
      </c>
      <c r="D192" s="27">
        <v>34.546909381876375</v>
      </c>
      <c r="E192" s="27">
        <v>35.504201680672274</v>
      </c>
      <c r="F192" s="27">
        <v>36.480944283284984</v>
      </c>
      <c r="G192" s="27">
        <v>37.347469493898778</v>
      </c>
      <c r="H192" s="27">
        <v>38.247649529905985</v>
      </c>
      <c r="I192" s="27">
        <v>38.953895389538964</v>
      </c>
      <c r="J192" s="27">
        <v>40.394039403940397</v>
      </c>
      <c r="K192" s="27">
        <v>41.52</v>
      </c>
      <c r="L192" s="27">
        <v>42.948589717943584</v>
      </c>
      <c r="M192" s="27">
        <v>44.703411023306984</v>
      </c>
      <c r="N192" s="27">
        <v>45.984598459845991</v>
      </c>
      <c r="O192" s="27">
        <v>47.019403880776153</v>
      </c>
      <c r="P192" s="27">
        <v>48.414841484148418</v>
      </c>
    </row>
    <row r="193" spans="1:16" x14ac:dyDescent="0.25">
      <c r="A193" s="2">
        <v>191</v>
      </c>
      <c r="B193" s="27">
        <f t="shared" si="2"/>
        <v>31.709812943883165</v>
      </c>
      <c r="C193" s="27">
        <v>32.709812943883165</v>
      </c>
      <c r="D193" s="27">
        <v>34.346869373874775</v>
      </c>
      <c r="E193" s="27">
        <v>35.294117647058833</v>
      </c>
      <c r="F193" s="27">
        <v>36.260878263479043</v>
      </c>
      <c r="G193" s="27">
        <v>37.127425485097014</v>
      </c>
      <c r="H193" s="27">
        <v>38.017603520704135</v>
      </c>
      <c r="I193" s="27">
        <v>38.733873387338733</v>
      </c>
      <c r="J193" s="27">
        <v>40.17401740174018</v>
      </c>
      <c r="K193" s="27">
        <v>41.29</v>
      </c>
      <c r="L193" s="27">
        <v>42.718543708741748</v>
      </c>
      <c r="M193" s="27">
        <v>44.493348004401312</v>
      </c>
      <c r="N193" s="27">
        <v>45.764576457645767</v>
      </c>
      <c r="O193" s="27">
        <v>46.799359871974389</v>
      </c>
      <c r="P193" s="27">
        <v>48.214821482148224</v>
      </c>
    </row>
    <row r="194" spans="1:16" x14ac:dyDescent="0.25">
      <c r="A194" s="2">
        <v>192</v>
      </c>
      <c r="B194" s="27">
        <f t="shared" si="2"/>
        <v>31.489746924077217</v>
      </c>
      <c r="C194" s="27">
        <v>32.489746924077217</v>
      </c>
      <c r="D194" s="27">
        <v>34.12682536507301</v>
      </c>
      <c r="E194" s="27">
        <v>35.104041616646668</v>
      </c>
      <c r="F194" s="27">
        <v>36.040812243673102</v>
      </c>
      <c r="G194" s="27">
        <v>36.917383476695335</v>
      </c>
      <c r="H194" s="27">
        <v>37.7875575115023</v>
      </c>
      <c r="I194" s="27">
        <v>38.503850385038511</v>
      </c>
      <c r="J194" s="27">
        <v>39.953995399539963</v>
      </c>
      <c r="K194" s="27">
        <v>41.06</v>
      </c>
      <c r="L194" s="27">
        <v>42.508501700340069</v>
      </c>
      <c r="M194" s="27">
        <v>44.273281984595371</v>
      </c>
      <c r="N194" s="27">
        <v>45.524552455245534</v>
      </c>
      <c r="O194" s="27">
        <v>46.569313862772553</v>
      </c>
      <c r="P194" s="27">
        <v>48.004800480048011</v>
      </c>
    </row>
    <row r="195" spans="1:16" x14ac:dyDescent="0.25">
      <c r="A195" s="2">
        <v>193</v>
      </c>
      <c r="B195" s="27">
        <f t="shared" ref="B195:B258" si="3">C195-1</f>
        <v>31.289686906071822</v>
      </c>
      <c r="C195" s="27">
        <v>32.289686906071822</v>
      </c>
      <c r="D195" s="27">
        <v>33.906781356271253</v>
      </c>
      <c r="E195" s="27">
        <v>34.913965586234497</v>
      </c>
      <c r="F195" s="27">
        <v>35.820746223867161</v>
      </c>
      <c r="G195" s="27">
        <v>36.707341468293663</v>
      </c>
      <c r="H195" s="27">
        <v>37.557511502300457</v>
      </c>
      <c r="I195" s="27">
        <v>38.273827382738283</v>
      </c>
      <c r="J195" s="27">
        <v>39.713971397139723</v>
      </c>
      <c r="K195" s="27">
        <v>40.85</v>
      </c>
      <c r="L195" s="27">
        <v>42.298459691938383</v>
      </c>
      <c r="M195" s="27">
        <v>44.043212963889168</v>
      </c>
      <c r="N195" s="27">
        <v>45.284528452845294</v>
      </c>
      <c r="O195" s="27">
        <v>46.339267853570711</v>
      </c>
      <c r="P195" s="27">
        <v>47.774777477747783</v>
      </c>
    </row>
    <row r="196" spans="1:16" x14ac:dyDescent="0.25">
      <c r="A196" s="2">
        <v>194</v>
      </c>
      <c r="B196" s="27">
        <f t="shared" si="3"/>
        <v>31.099629888966689</v>
      </c>
      <c r="C196" s="27">
        <v>32.099629888966689</v>
      </c>
      <c r="D196" s="27">
        <v>33.696739347869567</v>
      </c>
      <c r="E196" s="27">
        <v>34.713885554221697</v>
      </c>
      <c r="F196" s="27">
        <v>35.590677203160944</v>
      </c>
      <c r="G196" s="27">
        <v>36.487297459491892</v>
      </c>
      <c r="H196" s="27">
        <v>37.3374674934987</v>
      </c>
      <c r="I196" s="27">
        <v>38.06380638063807</v>
      </c>
      <c r="J196" s="27">
        <v>39.483948394839487</v>
      </c>
      <c r="K196" s="27">
        <v>40.630000000000003</v>
      </c>
      <c r="L196" s="27">
        <v>42.078415683136626</v>
      </c>
      <c r="M196" s="27">
        <v>43.813143943182951</v>
      </c>
      <c r="N196" s="27">
        <v>45.074507450745081</v>
      </c>
      <c r="O196" s="27">
        <v>46.119223844768953</v>
      </c>
      <c r="P196" s="27">
        <v>47.554755475547559</v>
      </c>
    </row>
    <row r="197" spans="1:16" x14ac:dyDescent="0.25">
      <c r="A197" s="2">
        <v>195</v>
      </c>
      <c r="B197" s="27">
        <f t="shared" si="3"/>
        <v>30.919575872761826</v>
      </c>
      <c r="C197" s="27">
        <v>31.919575872761826</v>
      </c>
      <c r="D197" s="27">
        <v>33.496699339867973</v>
      </c>
      <c r="E197" s="27">
        <v>34.493797519007607</v>
      </c>
      <c r="F197" s="27">
        <v>35.360608182454733</v>
      </c>
      <c r="G197" s="27">
        <v>36.267253450690134</v>
      </c>
      <c r="H197" s="27">
        <v>37.117423484696936</v>
      </c>
      <c r="I197" s="27">
        <v>37.863786378637869</v>
      </c>
      <c r="J197" s="27">
        <v>39.26392639263927</v>
      </c>
      <c r="K197" s="27">
        <v>40.4</v>
      </c>
      <c r="L197" s="27">
        <v>41.868373674734947</v>
      </c>
      <c r="M197" s="27">
        <v>43.59307792337701</v>
      </c>
      <c r="N197" s="27">
        <v>44.87448744874488</v>
      </c>
      <c r="O197" s="27">
        <v>45.899179835967189</v>
      </c>
      <c r="P197" s="27">
        <v>47.334733473347342</v>
      </c>
    </row>
    <row r="198" spans="1:16" x14ac:dyDescent="0.25">
      <c r="A198" s="2">
        <v>196</v>
      </c>
      <c r="B198" s="27">
        <f t="shared" si="3"/>
        <v>30.729518855656693</v>
      </c>
      <c r="C198" s="27">
        <v>31.729518855656693</v>
      </c>
      <c r="D198" s="27">
        <v>33.296659331866373</v>
      </c>
      <c r="E198" s="27">
        <v>34.263705482192883</v>
      </c>
      <c r="F198" s="27">
        <v>35.160548164449331</v>
      </c>
      <c r="G198" s="27">
        <v>36.057211442288455</v>
      </c>
      <c r="H198" s="27">
        <v>36.907381476295257</v>
      </c>
      <c r="I198" s="27">
        <v>37.643764376437652</v>
      </c>
      <c r="J198" s="27">
        <v>39.043904390439046</v>
      </c>
      <c r="K198" s="27">
        <v>40.159999999999997</v>
      </c>
      <c r="L198" s="27">
        <v>41.658331666333261</v>
      </c>
      <c r="M198" s="27">
        <v>43.363008902670799</v>
      </c>
      <c r="N198" s="27">
        <v>44.654465446544663</v>
      </c>
      <c r="O198" s="27">
        <v>45.699139827965588</v>
      </c>
      <c r="P198" s="27">
        <v>47.104710471047113</v>
      </c>
    </row>
    <row r="199" spans="1:16" x14ac:dyDescent="0.25">
      <c r="A199" s="2">
        <v>197</v>
      </c>
      <c r="B199" s="27">
        <f t="shared" si="3"/>
        <v>30.529458837651294</v>
      </c>
      <c r="C199" s="27">
        <v>31.529458837651294</v>
      </c>
      <c r="D199" s="27">
        <v>33.096619323864772</v>
      </c>
      <c r="E199" s="27">
        <v>34.0436174469788</v>
      </c>
      <c r="F199" s="27">
        <v>34.960488146443936</v>
      </c>
      <c r="G199" s="27">
        <v>35.827165433086613</v>
      </c>
      <c r="H199" s="27">
        <v>36.697339467893578</v>
      </c>
      <c r="I199" s="27">
        <v>37.433743374337439</v>
      </c>
      <c r="J199" s="27">
        <v>38.823882388238829</v>
      </c>
      <c r="K199" s="27">
        <v>39.94</v>
      </c>
      <c r="L199" s="27">
        <v>41.438287657531504</v>
      </c>
      <c r="M199" s="27">
        <v>43.132939881964582</v>
      </c>
      <c r="N199" s="27">
        <v>44.434443444344438</v>
      </c>
      <c r="O199" s="27">
        <v>45.499099819963995</v>
      </c>
      <c r="P199" s="27">
        <v>46.884688468846896</v>
      </c>
    </row>
    <row r="200" spans="1:16" x14ac:dyDescent="0.25">
      <c r="A200" s="2">
        <v>198</v>
      </c>
      <c r="B200" s="27">
        <f t="shared" si="3"/>
        <v>30.319395818745619</v>
      </c>
      <c r="C200" s="27">
        <v>31.319395818745619</v>
      </c>
      <c r="D200" s="27">
        <v>32.896579315863171</v>
      </c>
      <c r="E200" s="27">
        <v>33.853541416566635</v>
      </c>
      <c r="F200" s="27">
        <v>34.750425127538264</v>
      </c>
      <c r="G200" s="27">
        <v>35.617123424684934</v>
      </c>
      <c r="H200" s="27">
        <v>36.497299459891977</v>
      </c>
      <c r="I200" s="27">
        <v>37.20372037203721</v>
      </c>
      <c r="J200" s="27">
        <v>38.613861386138616</v>
      </c>
      <c r="K200" s="27">
        <v>39.74</v>
      </c>
      <c r="L200" s="27">
        <v>41.228245649129825</v>
      </c>
      <c r="M200" s="27">
        <v>42.92287686305891</v>
      </c>
      <c r="N200" s="27">
        <v>44.224422442244233</v>
      </c>
      <c r="O200" s="27">
        <v>45.27905581116223</v>
      </c>
      <c r="P200" s="27">
        <v>46.674667466746683</v>
      </c>
    </row>
    <row r="201" spans="1:16" x14ac:dyDescent="0.25">
      <c r="A201" s="2">
        <v>199</v>
      </c>
      <c r="B201" s="27">
        <f t="shared" si="3"/>
        <v>30.11933580074022</v>
      </c>
      <c r="C201" s="27">
        <v>31.11933580074022</v>
      </c>
      <c r="D201" s="27">
        <v>32.706541308261656</v>
      </c>
      <c r="E201" s="27">
        <v>33.683473389355747</v>
      </c>
      <c r="F201" s="27">
        <v>34.530359107732323</v>
      </c>
      <c r="G201" s="27">
        <v>35.437087417483497</v>
      </c>
      <c r="H201" s="27">
        <v>36.287257451490298</v>
      </c>
      <c r="I201" s="27">
        <v>36.983698369836986</v>
      </c>
      <c r="J201" s="27">
        <v>38.403840384038411</v>
      </c>
      <c r="K201" s="27">
        <v>39.54</v>
      </c>
      <c r="L201" s="27">
        <v>41.00820164032806</v>
      </c>
      <c r="M201" s="27">
        <v>42.722816845053515</v>
      </c>
      <c r="N201" s="27">
        <v>44.01440144014402</v>
      </c>
      <c r="O201" s="27">
        <v>45.049009801960388</v>
      </c>
      <c r="P201" s="27">
        <v>46.474647464746482</v>
      </c>
    </row>
    <row r="202" spans="1:16" x14ac:dyDescent="0.25">
      <c r="A202" s="2">
        <v>200</v>
      </c>
      <c r="B202" s="27">
        <f t="shared" si="3"/>
        <v>29.929278783635091</v>
      </c>
      <c r="C202" s="27">
        <v>30.929278783635091</v>
      </c>
      <c r="D202" s="27">
        <v>32.506501300260048</v>
      </c>
      <c r="E202" s="27">
        <v>33.493397358943582</v>
      </c>
      <c r="F202" s="27">
        <v>34.330299089726914</v>
      </c>
      <c r="G202" s="27">
        <v>35.227045409081811</v>
      </c>
      <c r="H202" s="27">
        <v>36.077215443088619</v>
      </c>
      <c r="I202" s="27">
        <v>36.783678367836792</v>
      </c>
      <c r="J202" s="27">
        <v>38.183818381838186</v>
      </c>
      <c r="K202" s="27">
        <v>39.33</v>
      </c>
      <c r="L202" s="27">
        <v>40.788157631526303</v>
      </c>
      <c r="M202" s="27">
        <v>42.512753826147843</v>
      </c>
      <c r="N202" s="27">
        <v>43.794379437943803</v>
      </c>
      <c r="O202" s="27">
        <v>44.828965793158631</v>
      </c>
      <c r="P202" s="27">
        <v>46.26462646264627</v>
      </c>
    </row>
    <row r="203" spans="1:16" x14ac:dyDescent="0.25">
      <c r="A203" s="2">
        <v>201</v>
      </c>
      <c r="B203" s="27">
        <f t="shared" si="3"/>
        <v>29.749224767430224</v>
      </c>
      <c r="C203" s="27">
        <v>30.749224767430224</v>
      </c>
      <c r="D203" s="27">
        <v>32.276455291058213</v>
      </c>
      <c r="E203" s="27">
        <v>33.273309323729492</v>
      </c>
      <c r="F203" s="27">
        <v>34.120236070821242</v>
      </c>
      <c r="G203" s="27">
        <v>35.007001400280053</v>
      </c>
      <c r="H203" s="27">
        <v>35.857171434286855</v>
      </c>
      <c r="I203" s="27">
        <v>36.583658365836584</v>
      </c>
      <c r="J203" s="27">
        <v>37.963796379637969</v>
      </c>
      <c r="K203" s="27">
        <v>39.14</v>
      </c>
      <c r="L203" s="27">
        <v>40.568113622724546</v>
      </c>
      <c r="M203" s="27">
        <v>42.292687806341903</v>
      </c>
      <c r="N203" s="27">
        <v>43.574357435743579</v>
      </c>
      <c r="O203" s="27">
        <v>44.618923784756952</v>
      </c>
      <c r="P203" s="27">
        <v>46.064606460646075</v>
      </c>
    </row>
    <row r="204" spans="1:16" x14ac:dyDescent="0.25">
      <c r="A204" s="2">
        <v>202</v>
      </c>
      <c r="B204" s="27">
        <f t="shared" si="3"/>
        <v>29.569170751225364</v>
      </c>
      <c r="C204" s="27">
        <v>30.569170751225364</v>
      </c>
      <c r="D204" s="27">
        <v>32.066413282656534</v>
      </c>
      <c r="E204" s="27">
        <v>33.05322128851541</v>
      </c>
      <c r="F204" s="27">
        <v>33.92017605281584</v>
      </c>
      <c r="G204" s="27">
        <v>34.786957391478296</v>
      </c>
      <c r="H204" s="27">
        <v>35.647129425885176</v>
      </c>
      <c r="I204" s="27">
        <v>36.363636363636367</v>
      </c>
      <c r="J204" s="27">
        <v>37.77377737773778</v>
      </c>
      <c r="K204" s="27">
        <v>38.93</v>
      </c>
      <c r="L204" s="27">
        <v>40.348069613922789</v>
      </c>
      <c r="M204" s="27">
        <v>42.082624787436231</v>
      </c>
      <c r="N204" s="27">
        <v>43.364336433643366</v>
      </c>
      <c r="O204" s="27">
        <v>44.408881776355265</v>
      </c>
      <c r="P204" s="27">
        <v>45.864586458645867</v>
      </c>
    </row>
    <row r="205" spans="1:16" x14ac:dyDescent="0.25">
      <c r="A205" s="2">
        <v>203</v>
      </c>
      <c r="B205" s="27">
        <f t="shared" si="3"/>
        <v>29.389116735020504</v>
      </c>
      <c r="C205" s="27">
        <v>30.389116735020504</v>
      </c>
      <c r="D205" s="27">
        <v>31.886377275455089</v>
      </c>
      <c r="E205" s="27">
        <v>32.85314125650261</v>
      </c>
      <c r="F205" s="27">
        <v>33.730119035710707</v>
      </c>
      <c r="G205" s="27">
        <v>34.576915383076617</v>
      </c>
      <c r="H205" s="27">
        <v>35.447089417883575</v>
      </c>
      <c r="I205" s="27">
        <v>36.153615361536154</v>
      </c>
      <c r="J205" s="27">
        <v>37.573757375737578</v>
      </c>
      <c r="K205" s="27">
        <v>38.71</v>
      </c>
      <c r="L205" s="27">
        <v>40.128025605121017</v>
      </c>
      <c r="M205" s="27">
        <v>41.872561768530559</v>
      </c>
      <c r="N205" s="27">
        <v>43.154315431543161</v>
      </c>
      <c r="O205" s="27">
        <v>44.17883576715343</v>
      </c>
      <c r="P205" s="27">
        <v>45.664566456645666</v>
      </c>
    </row>
    <row r="206" spans="1:16" x14ac:dyDescent="0.25">
      <c r="A206" s="2">
        <v>204</v>
      </c>
      <c r="B206" s="27">
        <f t="shared" si="3"/>
        <v>29.209062718815641</v>
      </c>
      <c r="C206" s="27">
        <v>30.209062718815641</v>
      </c>
      <c r="D206" s="27">
        <v>31.706341268253649</v>
      </c>
      <c r="E206" s="27">
        <v>32.653061224489804</v>
      </c>
      <c r="F206" s="27">
        <v>33.550065019505851</v>
      </c>
      <c r="G206" s="27">
        <v>34.376875375075009</v>
      </c>
      <c r="H206" s="27">
        <v>35.237047409481889</v>
      </c>
      <c r="I206" s="27">
        <v>35.943594359435949</v>
      </c>
      <c r="J206" s="27">
        <v>37.363736373637366</v>
      </c>
      <c r="K206" s="27">
        <v>38.49</v>
      </c>
      <c r="L206" s="27">
        <v>39.917983596719338</v>
      </c>
      <c r="M206" s="27">
        <v>41.67250175052515</v>
      </c>
      <c r="N206" s="27">
        <v>42.934293429342937</v>
      </c>
      <c r="O206" s="27">
        <v>43.978795759151829</v>
      </c>
      <c r="P206" s="27">
        <v>45.45454545454546</v>
      </c>
    </row>
    <row r="207" spans="1:16" x14ac:dyDescent="0.25">
      <c r="A207" s="2">
        <v>205</v>
      </c>
      <c r="B207" s="27">
        <f t="shared" si="3"/>
        <v>29.009002700810242</v>
      </c>
      <c r="C207" s="27">
        <v>30.009002700810242</v>
      </c>
      <c r="D207" s="27">
        <v>31.526305261052208</v>
      </c>
      <c r="E207" s="27">
        <v>32.462985194077639</v>
      </c>
      <c r="F207" s="27">
        <v>33.370011003300988</v>
      </c>
      <c r="G207" s="27">
        <v>34.176835367073416</v>
      </c>
      <c r="H207" s="27">
        <v>35.037007401480295</v>
      </c>
      <c r="I207" s="27">
        <v>35.733573357335736</v>
      </c>
      <c r="J207" s="27">
        <v>37.15371537153716</v>
      </c>
      <c r="K207" s="27">
        <v>38.270000000000003</v>
      </c>
      <c r="L207" s="27">
        <v>39.707941588317667</v>
      </c>
      <c r="M207" s="27">
        <v>41.462438731619486</v>
      </c>
      <c r="N207" s="27">
        <v>42.704270427042715</v>
      </c>
      <c r="O207" s="27">
        <v>43.788757751550307</v>
      </c>
      <c r="P207" s="27">
        <v>45.234523452345236</v>
      </c>
    </row>
    <row r="208" spans="1:16" x14ac:dyDescent="0.25">
      <c r="A208" s="2">
        <v>206</v>
      </c>
      <c r="B208" s="27">
        <f t="shared" si="3"/>
        <v>28.81894568370511</v>
      </c>
      <c r="C208" s="27">
        <v>29.81894568370511</v>
      </c>
      <c r="D208" s="27">
        <v>31.336267253450686</v>
      </c>
      <c r="E208" s="27">
        <v>32.282913165266116</v>
      </c>
      <c r="F208" s="27">
        <v>33.179953986195855</v>
      </c>
      <c r="G208" s="27">
        <v>33.986797359471893</v>
      </c>
      <c r="H208" s="27">
        <v>34.836967393478695</v>
      </c>
      <c r="I208" s="27">
        <v>35.52355235523553</v>
      </c>
      <c r="J208" s="27">
        <v>36.943694369436948</v>
      </c>
      <c r="K208" s="27">
        <v>38.06</v>
      </c>
      <c r="L208" s="27">
        <v>39.507901580316059</v>
      </c>
      <c r="M208" s="27">
        <v>41.252375712713814</v>
      </c>
      <c r="N208" s="27">
        <v>42.494249424942502</v>
      </c>
      <c r="O208" s="27">
        <v>43.56871374274855</v>
      </c>
      <c r="P208" s="27">
        <v>45.024502450245031</v>
      </c>
    </row>
    <row r="209" spans="1:16" x14ac:dyDescent="0.25">
      <c r="A209" s="2">
        <v>207</v>
      </c>
      <c r="B209" s="27">
        <f t="shared" si="3"/>
        <v>28.618885665699707</v>
      </c>
      <c r="C209" s="27">
        <v>29.618885665699707</v>
      </c>
      <c r="D209" s="27">
        <v>31.14622924584917</v>
      </c>
      <c r="E209" s="27">
        <v>32.08283313325331</v>
      </c>
      <c r="F209" s="27">
        <v>32.979893968190453</v>
      </c>
      <c r="G209" s="27">
        <v>33.796759351870371</v>
      </c>
      <c r="H209" s="27">
        <v>34.636927385477094</v>
      </c>
      <c r="I209" s="27">
        <v>35.313531353135318</v>
      </c>
      <c r="J209" s="27">
        <v>36.743674367436753</v>
      </c>
      <c r="K209" s="27">
        <v>37.86</v>
      </c>
      <c r="L209" s="27">
        <v>39.317863572714543</v>
      </c>
      <c r="M209" s="27">
        <v>41.042312693808142</v>
      </c>
      <c r="N209" s="27">
        <v>42.294229422942301</v>
      </c>
      <c r="O209" s="27">
        <v>43.358671734346871</v>
      </c>
      <c r="P209" s="27">
        <v>44.814481448144825</v>
      </c>
    </row>
    <row r="210" spans="1:16" x14ac:dyDescent="0.25">
      <c r="A210" s="2">
        <v>208</v>
      </c>
      <c r="B210" s="27">
        <f t="shared" si="3"/>
        <v>28.438831649494848</v>
      </c>
      <c r="C210" s="27">
        <v>29.438831649494848</v>
      </c>
      <c r="D210" s="27">
        <v>30.956191238247648</v>
      </c>
      <c r="E210" s="27">
        <v>31.892757102841141</v>
      </c>
      <c r="F210" s="27">
        <v>32.779833950185058</v>
      </c>
      <c r="G210" s="27">
        <v>33.616723344668934</v>
      </c>
      <c r="H210" s="27">
        <v>34.446889377875571</v>
      </c>
      <c r="I210" s="27">
        <v>35.103510351035112</v>
      </c>
      <c r="J210" s="27">
        <v>36.553655365536557</v>
      </c>
      <c r="K210" s="27">
        <v>37.65</v>
      </c>
      <c r="L210" s="27">
        <v>39.117823564712943</v>
      </c>
      <c r="M210" s="27">
        <v>40.832249674902471</v>
      </c>
      <c r="N210" s="27">
        <v>42.0942094209421</v>
      </c>
      <c r="O210" s="27">
        <v>43.158631726345263</v>
      </c>
      <c r="P210" s="27">
        <v>44.624462446244628</v>
      </c>
    </row>
    <row r="211" spans="1:16" x14ac:dyDescent="0.25">
      <c r="A211" s="2">
        <v>209</v>
      </c>
      <c r="B211" s="27">
        <f t="shared" si="3"/>
        <v>28.268780634190257</v>
      </c>
      <c r="C211" s="27">
        <v>29.268780634190257</v>
      </c>
      <c r="D211" s="27">
        <v>30.766153230646129</v>
      </c>
      <c r="E211" s="27">
        <v>31.692677070828335</v>
      </c>
      <c r="F211" s="27">
        <v>32.569770931279386</v>
      </c>
      <c r="G211" s="27">
        <v>33.426685337067411</v>
      </c>
      <c r="H211" s="27">
        <v>34.246849369873978</v>
      </c>
      <c r="I211" s="27">
        <v>34.923492349234927</v>
      </c>
      <c r="J211" s="27">
        <v>36.353635363536362</v>
      </c>
      <c r="K211" s="27">
        <v>37.450000000000003</v>
      </c>
      <c r="L211" s="27">
        <v>38.907781556311257</v>
      </c>
      <c r="M211" s="27">
        <v>40.622186655996799</v>
      </c>
      <c r="N211" s="27">
        <v>41.90419041904191</v>
      </c>
      <c r="O211" s="27">
        <v>42.958591718343669</v>
      </c>
      <c r="P211" s="27">
        <v>44.434443444344438</v>
      </c>
    </row>
    <row r="212" spans="1:16" x14ac:dyDescent="0.25">
      <c r="A212" s="2">
        <v>210</v>
      </c>
      <c r="B212" s="27">
        <f t="shared" si="3"/>
        <v>28.108732619785936</v>
      </c>
      <c r="C212" s="27">
        <v>29.108732619785936</v>
      </c>
      <c r="D212" s="27">
        <v>30.576115223044606</v>
      </c>
      <c r="E212" s="27">
        <v>31.532613045218092</v>
      </c>
      <c r="F212" s="27">
        <v>32.369710913273977</v>
      </c>
      <c r="G212" s="27">
        <v>33.226645329065811</v>
      </c>
      <c r="H212" s="27">
        <v>34.056811362272448</v>
      </c>
      <c r="I212" s="27">
        <v>34.75347534753476</v>
      </c>
      <c r="J212" s="27">
        <v>36.14361436143615</v>
      </c>
      <c r="K212" s="27">
        <v>37.25</v>
      </c>
      <c r="L212" s="27">
        <v>38.687737547509499</v>
      </c>
      <c r="M212" s="27">
        <v>40.42212663799139</v>
      </c>
      <c r="N212" s="27">
        <v>41.714171417141721</v>
      </c>
      <c r="O212" s="27">
        <v>42.74854970994199</v>
      </c>
      <c r="P212" s="27">
        <v>44.224422442244233</v>
      </c>
    </row>
    <row r="213" spans="1:16" x14ac:dyDescent="0.25">
      <c r="A213" s="2">
        <v>211</v>
      </c>
      <c r="B213" s="27">
        <f t="shared" si="3"/>
        <v>27.948684605381615</v>
      </c>
      <c r="C213" s="27">
        <v>28.948684605381615</v>
      </c>
      <c r="D213" s="27">
        <v>30.376075215043009</v>
      </c>
      <c r="E213" s="27">
        <v>31.352541016406569</v>
      </c>
      <c r="F213" s="27">
        <v>32.169650895268575</v>
      </c>
      <c r="G213" s="27">
        <v>33.036607321464295</v>
      </c>
      <c r="H213" s="27">
        <v>33.866773354670933</v>
      </c>
      <c r="I213" s="27">
        <v>34.56345634563457</v>
      </c>
      <c r="J213" s="27">
        <v>35.943594359435949</v>
      </c>
      <c r="K213" s="27">
        <v>37.049999999999997</v>
      </c>
      <c r="L213" s="27">
        <v>38.487697539507899</v>
      </c>
      <c r="M213" s="27">
        <v>40.212063619085725</v>
      </c>
      <c r="N213" s="27">
        <v>41.514151415141519</v>
      </c>
      <c r="O213" s="27">
        <v>42.528505701140226</v>
      </c>
      <c r="P213" s="27">
        <v>44.01440144014402</v>
      </c>
    </row>
    <row r="214" spans="1:16" x14ac:dyDescent="0.25">
      <c r="A214" s="2">
        <v>212</v>
      </c>
      <c r="B214" s="27">
        <f t="shared" si="3"/>
        <v>27.778633590077021</v>
      </c>
      <c r="C214" s="27">
        <v>28.778633590077021</v>
      </c>
      <c r="D214" s="27">
        <v>30.186037207441487</v>
      </c>
      <c r="E214" s="27">
        <v>31.172468987595042</v>
      </c>
      <c r="F214" s="27">
        <v>31.979593878163445</v>
      </c>
      <c r="G214" s="27">
        <v>32.856571314262851</v>
      </c>
      <c r="H214" s="27">
        <v>33.676735347069418</v>
      </c>
      <c r="I214" s="27">
        <v>34.353435343534358</v>
      </c>
      <c r="J214" s="27">
        <v>35.753575357535759</v>
      </c>
      <c r="K214" s="27">
        <v>36.85</v>
      </c>
      <c r="L214" s="27">
        <v>38.287657531506298</v>
      </c>
      <c r="M214" s="27">
        <v>40.012003601080323</v>
      </c>
      <c r="N214" s="27">
        <v>41.32413241324133</v>
      </c>
      <c r="O214" s="27">
        <v>42.338467693538703</v>
      </c>
      <c r="P214" s="27">
        <v>43.824382438243831</v>
      </c>
    </row>
    <row r="215" spans="1:16" x14ac:dyDescent="0.25">
      <c r="A215" s="2">
        <v>213</v>
      </c>
      <c r="B215" s="27">
        <f t="shared" si="3"/>
        <v>27.608582574772431</v>
      </c>
      <c r="C215" s="27">
        <v>28.608582574772431</v>
      </c>
      <c r="D215" s="27">
        <v>30.026005201040206</v>
      </c>
      <c r="E215" s="27">
        <v>31.002400960384158</v>
      </c>
      <c r="F215" s="27">
        <v>31.789536861058316</v>
      </c>
      <c r="G215" s="27">
        <v>32.676535307061414</v>
      </c>
      <c r="H215" s="27">
        <v>33.486697339467888</v>
      </c>
      <c r="I215" s="27">
        <v>34.153415341534156</v>
      </c>
      <c r="J215" s="27">
        <v>35.553555355535558</v>
      </c>
      <c r="K215" s="27">
        <v>36.65</v>
      </c>
      <c r="L215" s="27">
        <v>38.087617523504697</v>
      </c>
      <c r="M215" s="27">
        <v>39.82194658397519</v>
      </c>
      <c r="N215" s="27">
        <v>41.114111411141117</v>
      </c>
      <c r="O215" s="27">
        <v>42.158431686337266</v>
      </c>
      <c r="P215" s="27">
        <v>43.624362436243629</v>
      </c>
    </row>
    <row r="216" spans="1:16" x14ac:dyDescent="0.25">
      <c r="A216" s="2">
        <v>214</v>
      </c>
      <c r="B216" s="27">
        <f t="shared" si="3"/>
        <v>27.428528558567571</v>
      </c>
      <c r="C216" s="27">
        <v>28.428528558567571</v>
      </c>
      <c r="D216" s="27">
        <v>29.885977195439086</v>
      </c>
      <c r="E216" s="27">
        <v>30.802320928371351</v>
      </c>
      <c r="F216" s="27">
        <v>31.619485845753722</v>
      </c>
      <c r="G216" s="27">
        <v>32.486497299459884</v>
      </c>
      <c r="H216" s="27">
        <v>33.286657331466294</v>
      </c>
      <c r="I216" s="27">
        <v>33.973397339733978</v>
      </c>
      <c r="J216" s="27">
        <v>35.343534353435352</v>
      </c>
      <c r="K216" s="27">
        <v>36.46</v>
      </c>
      <c r="L216" s="27">
        <v>37.877575515103018</v>
      </c>
      <c r="M216" s="27">
        <v>39.631889566870058</v>
      </c>
      <c r="N216" s="27">
        <v>40.914091409140916</v>
      </c>
      <c r="O216" s="27">
        <v>41.958391678335666</v>
      </c>
      <c r="P216" s="27">
        <v>43.414341434143417</v>
      </c>
    </row>
    <row r="217" spans="1:16" x14ac:dyDescent="0.25">
      <c r="A217" s="2">
        <v>215</v>
      </c>
      <c r="B217" s="27">
        <f t="shared" si="3"/>
        <v>27.238471541462438</v>
      </c>
      <c r="C217" s="27">
        <v>28.238471541462438</v>
      </c>
      <c r="D217" s="27">
        <v>29.705941188237645</v>
      </c>
      <c r="E217" s="27">
        <v>30.602240896358548</v>
      </c>
      <c r="F217" s="27">
        <v>31.429428828648593</v>
      </c>
      <c r="G217" s="27">
        <v>32.296459291858369</v>
      </c>
      <c r="H217" s="27">
        <v>33.086617323464687</v>
      </c>
      <c r="I217" s="27">
        <v>33.7933793379338</v>
      </c>
      <c r="J217" s="27">
        <v>35.133513351335139</v>
      </c>
      <c r="K217" s="27">
        <v>36.26</v>
      </c>
      <c r="L217" s="27">
        <v>37.677535507101418</v>
      </c>
      <c r="M217" s="27">
        <v>39.431829548864656</v>
      </c>
      <c r="N217" s="27">
        <v>40.724072407240726</v>
      </c>
      <c r="O217" s="27">
        <v>41.748349669933987</v>
      </c>
      <c r="P217" s="27">
        <v>43.204320432043211</v>
      </c>
    </row>
    <row r="218" spans="1:16" x14ac:dyDescent="0.25">
      <c r="A218" s="2">
        <v>216</v>
      </c>
      <c r="B218" s="27">
        <f t="shared" si="3"/>
        <v>27.058417525257575</v>
      </c>
      <c r="C218" s="27">
        <v>28.058417525257575</v>
      </c>
      <c r="D218" s="27">
        <v>29.525905181036205</v>
      </c>
      <c r="E218" s="27">
        <v>30.442176870748305</v>
      </c>
      <c r="F218" s="27">
        <v>31.219365809742921</v>
      </c>
      <c r="G218" s="27">
        <v>32.106421284256854</v>
      </c>
      <c r="H218" s="27">
        <v>32.886577315463093</v>
      </c>
      <c r="I218" s="27">
        <v>33.593359335933599</v>
      </c>
      <c r="J218" s="27">
        <v>34.933493349334938</v>
      </c>
      <c r="K218" s="27">
        <v>36.06</v>
      </c>
      <c r="L218" s="27">
        <v>37.487497499499895</v>
      </c>
      <c r="M218" s="27">
        <v>39.221766529958984</v>
      </c>
      <c r="N218" s="27">
        <v>40.524052405240532</v>
      </c>
      <c r="O218" s="27">
        <v>41.548309661932386</v>
      </c>
      <c r="P218" s="27">
        <v>43.00430043004301</v>
      </c>
    </row>
    <row r="219" spans="1:16" x14ac:dyDescent="0.25">
      <c r="A219" s="2">
        <v>217</v>
      </c>
      <c r="B219" s="27">
        <f t="shared" si="3"/>
        <v>26.888366509952984</v>
      </c>
      <c r="C219" s="27">
        <v>27.888366509952984</v>
      </c>
      <c r="D219" s="27">
        <v>29.355871174234846</v>
      </c>
      <c r="E219" s="27">
        <v>30.272108843537421</v>
      </c>
      <c r="F219" s="27">
        <v>31.029308792637789</v>
      </c>
      <c r="G219" s="27">
        <v>31.916383276655331</v>
      </c>
      <c r="H219" s="27">
        <v>32.686537307461492</v>
      </c>
      <c r="I219" s="27">
        <v>33.383338333833393</v>
      </c>
      <c r="J219" s="27">
        <v>34.733473347334737</v>
      </c>
      <c r="K219" s="27">
        <v>35.85</v>
      </c>
      <c r="L219" s="27">
        <v>37.277455491098223</v>
      </c>
      <c r="M219" s="27">
        <v>39.031709512853858</v>
      </c>
      <c r="N219" s="27">
        <v>40.314031403140319</v>
      </c>
      <c r="O219" s="27">
        <v>41.328265653130622</v>
      </c>
      <c r="P219" s="27">
        <v>42.81428142814282</v>
      </c>
    </row>
    <row r="220" spans="1:16" x14ac:dyDescent="0.25">
      <c r="A220" s="2">
        <v>218</v>
      </c>
      <c r="B220" s="27">
        <f t="shared" si="3"/>
        <v>26.718315494648394</v>
      </c>
      <c r="C220" s="27">
        <v>27.718315494648394</v>
      </c>
      <c r="D220" s="27">
        <v>29.185837167433487</v>
      </c>
      <c r="E220" s="27">
        <v>30.092036814725894</v>
      </c>
      <c r="F220" s="27">
        <v>30.869260778233468</v>
      </c>
      <c r="G220" s="27">
        <v>31.726345269053809</v>
      </c>
      <c r="H220" s="27">
        <v>32.49649929985997</v>
      </c>
      <c r="I220" s="27">
        <v>33.193319331933196</v>
      </c>
      <c r="J220" s="27">
        <v>34.553455345534559</v>
      </c>
      <c r="K220" s="27">
        <v>35.65</v>
      </c>
      <c r="L220" s="27">
        <v>37.077415483096615</v>
      </c>
      <c r="M220" s="27">
        <v>38.841652495748718</v>
      </c>
      <c r="N220" s="27">
        <v>40.094009400940102</v>
      </c>
      <c r="O220" s="27">
        <v>41.138227645529106</v>
      </c>
      <c r="P220" s="27">
        <v>42.634263426342642</v>
      </c>
    </row>
    <row r="221" spans="1:16" x14ac:dyDescent="0.25">
      <c r="A221" s="2">
        <v>219</v>
      </c>
      <c r="B221" s="27">
        <f t="shared" si="3"/>
        <v>26.5482644793438</v>
      </c>
      <c r="C221" s="27">
        <v>27.5482644793438</v>
      </c>
      <c r="D221" s="27">
        <v>29.005801160232046</v>
      </c>
      <c r="E221" s="27">
        <v>29.911964785914368</v>
      </c>
      <c r="F221" s="27">
        <v>30.679203761128338</v>
      </c>
      <c r="G221" s="27">
        <v>31.526305261052208</v>
      </c>
      <c r="H221" s="27">
        <v>32.306461292258447</v>
      </c>
      <c r="I221" s="27">
        <v>33.013301330133018</v>
      </c>
      <c r="J221" s="27">
        <v>34.373437343734373</v>
      </c>
      <c r="K221" s="27">
        <v>35.450000000000003</v>
      </c>
      <c r="L221" s="27">
        <v>36.897379475895178</v>
      </c>
      <c r="M221" s="27">
        <v>38.631589476843047</v>
      </c>
      <c r="N221" s="27">
        <v>39.893989398939901</v>
      </c>
      <c r="O221" s="27">
        <v>40.948189637927584</v>
      </c>
      <c r="P221" s="27">
        <v>42.444244424442445</v>
      </c>
    </row>
    <row r="222" spans="1:16" x14ac:dyDescent="0.25">
      <c r="A222" s="2">
        <v>220</v>
      </c>
      <c r="B222" s="27">
        <f t="shared" si="3"/>
        <v>26.388216464939479</v>
      </c>
      <c r="C222" s="27">
        <v>27.388216464939479</v>
      </c>
      <c r="D222" s="27">
        <v>28.815763152630524</v>
      </c>
      <c r="E222" s="27">
        <v>29.731892757102845</v>
      </c>
      <c r="F222" s="27">
        <v>30.499149744923475</v>
      </c>
      <c r="G222" s="27">
        <v>31.336267253450686</v>
      </c>
      <c r="H222" s="27">
        <v>32.12642528505701</v>
      </c>
      <c r="I222" s="27">
        <v>32.813281328132817</v>
      </c>
      <c r="J222" s="27">
        <v>34.193419341934195</v>
      </c>
      <c r="K222" s="27">
        <v>35.270000000000003</v>
      </c>
      <c r="L222" s="27">
        <v>36.707341468293663</v>
      </c>
      <c r="M222" s="27">
        <v>38.421526457937375</v>
      </c>
      <c r="N222" s="27">
        <v>39.703970397039711</v>
      </c>
      <c r="O222" s="27">
        <v>40.76815363072614</v>
      </c>
      <c r="P222" s="27">
        <v>42.244224422442251</v>
      </c>
    </row>
    <row r="223" spans="1:16" x14ac:dyDescent="0.25">
      <c r="A223" s="2">
        <v>221</v>
      </c>
      <c r="B223" s="27">
        <f t="shared" si="3"/>
        <v>26.218165449634888</v>
      </c>
      <c r="C223" s="27">
        <v>27.218165449634888</v>
      </c>
      <c r="D223" s="27">
        <v>28.625725145029005</v>
      </c>
      <c r="E223" s="27">
        <v>29.561824729891963</v>
      </c>
      <c r="F223" s="27">
        <v>30.33910173051915</v>
      </c>
      <c r="G223" s="27">
        <v>31.156231246249249</v>
      </c>
      <c r="H223" s="27">
        <v>31.94638927785557</v>
      </c>
      <c r="I223" s="27">
        <v>32.623262326232627</v>
      </c>
      <c r="J223" s="27">
        <v>33.993399339934001</v>
      </c>
      <c r="K223" s="27">
        <v>35.08</v>
      </c>
      <c r="L223" s="27">
        <v>36.507301460292055</v>
      </c>
      <c r="M223" s="27">
        <v>38.22146643993198</v>
      </c>
      <c r="N223" s="27">
        <v>39.50395039503951</v>
      </c>
      <c r="O223" s="27">
        <v>40.568113622724546</v>
      </c>
      <c r="P223" s="27">
        <v>42.024202420242034</v>
      </c>
    </row>
    <row r="224" spans="1:16" x14ac:dyDescent="0.25">
      <c r="A224" s="2">
        <v>222</v>
      </c>
      <c r="B224" s="27">
        <f t="shared" si="3"/>
        <v>26.048114434330298</v>
      </c>
      <c r="C224" s="27">
        <v>27.048114434330298</v>
      </c>
      <c r="D224" s="27">
        <v>28.435687137427482</v>
      </c>
      <c r="E224" s="27">
        <v>29.381752701080437</v>
      </c>
      <c r="F224" s="27">
        <v>30.189056717015102</v>
      </c>
      <c r="G224" s="27">
        <v>30.976195239047808</v>
      </c>
      <c r="H224" s="27">
        <v>31.766353270654133</v>
      </c>
      <c r="I224" s="27">
        <v>32.45324532453246</v>
      </c>
      <c r="J224" s="27">
        <v>33.803380338033804</v>
      </c>
      <c r="K224" s="27">
        <v>34.880000000000003</v>
      </c>
      <c r="L224" s="27">
        <v>36.297259451890376</v>
      </c>
      <c r="M224" s="27">
        <v>38.041412423727117</v>
      </c>
      <c r="N224" s="27">
        <v>39.293929392939297</v>
      </c>
      <c r="O224" s="27">
        <v>40.368073614722945</v>
      </c>
      <c r="P224" s="27">
        <v>41.824182418241833</v>
      </c>
    </row>
    <row r="225" spans="1:16" x14ac:dyDescent="0.25">
      <c r="A225" s="2">
        <v>223</v>
      </c>
      <c r="B225" s="27">
        <f t="shared" si="3"/>
        <v>25.878063419025708</v>
      </c>
      <c r="C225" s="27">
        <v>26.878063419025708</v>
      </c>
      <c r="D225" s="27">
        <v>28.275655131026202</v>
      </c>
      <c r="E225" s="27">
        <v>29.201680672268914</v>
      </c>
      <c r="F225" s="27">
        <v>29.99899969990997</v>
      </c>
      <c r="G225" s="27">
        <v>30.776155231046207</v>
      </c>
      <c r="H225" s="27">
        <v>31.57631526305261</v>
      </c>
      <c r="I225" s="27">
        <v>32.273227322732282</v>
      </c>
      <c r="J225" s="27">
        <v>33.613361336133615</v>
      </c>
      <c r="K225" s="27">
        <v>34.69</v>
      </c>
      <c r="L225" s="27">
        <v>36.107221444288861</v>
      </c>
      <c r="M225" s="27">
        <v>37.861358407522253</v>
      </c>
      <c r="N225" s="27">
        <v>39.093909390939103</v>
      </c>
      <c r="O225" s="27">
        <v>40.158031606321259</v>
      </c>
      <c r="P225" s="27">
        <v>41.624162416241624</v>
      </c>
    </row>
    <row r="226" spans="1:16" x14ac:dyDescent="0.25">
      <c r="A226" s="2">
        <v>224</v>
      </c>
      <c r="B226" s="27">
        <f t="shared" si="3"/>
        <v>25.708012403721114</v>
      </c>
      <c r="C226" s="27">
        <v>26.708012403721114</v>
      </c>
      <c r="D226" s="27">
        <v>28.115623124624925</v>
      </c>
      <c r="E226" s="27">
        <v>29.021608643457387</v>
      </c>
      <c r="F226" s="27">
        <v>29.788936681004301</v>
      </c>
      <c r="G226" s="27">
        <v>30.606121224244848</v>
      </c>
      <c r="H226" s="27">
        <v>31.386277255451088</v>
      </c>
      <c r="I226" s="27">
        <v>32.083208320832085</v>
      </c>
      <c r="J226" s="27">
        <v>33.413341334133413</v>
      </c>
      <c r="K226" s="27">
        <v>34.5</v>
      </c>
      <c r="L226" s="27">
        <v>35.917183436687331</v>
      </c>
      <c r="M226" s="27">
        <v>37.661298389516851</v>
      </c>
      <c r="N226" s="27">
        <v>38.913891389138918</v>
      </c>
      <c r="O226" s="27">
        <v>39.977995599119822</v>
      </c>
      <c r="P226" s="27">
        <v>41.444144414441446</v>
      </c>
    </row>
    <row r="227" spans="1:16" x14ac:dyDescent="0.25">
      <c r="A227" s="2">
        <v>225</v>
      </c>
      <c r="B227" s="27">
        <f t="shared" si="3"/>
        <v>25.537961388416523</v>
      </c>
      <c r="C227" s="27">
        <v>26.537961388416523</v>
      </c>
      <c r="D227" s="27">
        <v>27.965593118623726</v>
      </c>
      <c r="E227" s="27">
        <v>28.841536614645861</v>
      </c>
      <c r="F227" s="27">
        <v>29.618885665699707</v>
      </c>
      <c r="G227" s="27">
        <v>30.446089217843568</v>
      </c>
      <c r="H227" s="27">
        <v>31.216243248649729</v>
      </c>
      <c r="I227" s="27">
        <v>31.903190319031907</v>
      </c>
      <c r="J227" s="27">
        <v>33.213321332133219</v>
      </c>
      <c r="K227" s="27">
        <v>34.31</v>
      </c>
      <c r="L227" s="27">
        <v>35.737147429485894</v>
      </c>
      <c r="M227" s="27">
        <v>37.471241372411725</v>
      </c>
      <c r="N227" s="27">
        <v>38.723872387238728</v>
      </c>
      <c r="O227" s="27">
        <v>39.777955591118229</v>
      </c>
      <c r="P227" s="27">
        <v>41.254125412541256</v>
      </c>
    </row>
    <row r="228" spans="1:16" x14ac:dyDescent="0.25">
      <c r="A228" s="2">
        <v>226</v>
      </c>
      <c r="B228" s="27">
        <f t="shared" si="3"/>
        <v>25.367910373111933</v>
      </c>
      <c r="C228" s="27">
        <v>26.367910373111933</v>
      </c>
      <c r="D228" s="27">
        <v>27.785557111422285</v>
      </c>
      <c r="E228" s="27">
        <v>28.661464585834338</v>
      </c>
      <c r="F228" s="27">
        <v>29.458837651295386</v>
      </c>
      <c r="G228" s="27">
        <v>30.276055211042205</v>
      </c>
      <c r="H228" s="27">
        <v>31.036207241448288</v>
      </c>
      <c r="I228" s="27">
        <v>31.713171317131717</v>
      </c>
      <c r="J228" s="27">
        <v>33.02330233023303</v>
      </c>
      <c r="K228" s="27">
        <v>34.119999999999997</v>
      </c>
      <c r="L228" s="27">
        <v>35.547109421884372</v>
      </c>
      <c r="M228" s="27">
        <v>37.281184355306593</v>
      </c>
      <c r="N228" s="27">
        <v>38.533853385338539</v>
      </c>
      <c r="O228" s="27">
        <v>39.577915583116621</v>
      </c>
      <c r="P228" s="27">
        <v>41.064106410641074</v>
      </c>
    </row>
    <row r="229" spans="1:16" x14ac:dyDescent="0.25">
      <c r="A229" s="2">
        <v>227</v>
      </c>
      <c r="B229" s="27">
        <f t="shared" si="3"/>
        <v>25.217865359607881</v>
      </c>
      <c r="C229" s="27">
        <v>26.217865359607881</v>
      </c>
      <c r="D229" s="27">
        <v>27.605521104220845</v>
      </c>
      <c r="E229" s="27">
        <v>28.501400560224091</v>
      </c>
      <c r="F229" s="27">
        <v>29.278783635090523</v>
      </c>
      <c r="G229" s="27">
        <v>30.086017203440687</v>
      </c>
      <c r="H229" s="27">
        <v>30.866173234646926</v>
      </c>
      <c r="I229" s="27">
        <v>31.523152315231528</v>
      </c>
      <c r="J229" s="27">
        <v>32.853285328532863</v>
      </c>
      <c r="K229" s="27">
        <v>33.93</v>
      </c>
      <c r="L229" s="27">
        <v>35.357071414282856</v>
      </c>
      <c r="M229" s="27">
        <v>37.101130339101729</v>
      </c>
      <c r="N229" s="27">
        <v>38.343834383438356</v>
      </c>
      <c r="O229" s="27">
        <v>39.37787557511502</v>
      </c>
      <c r="P229" s="27">
        <v>40.874087408740877</v>
      </c>
    </row>
    <row r="230" spans="1:16" x14ac:dyDescent="0.25">
      <c r="A230" s="2">
        <v>228</v>
      </c>
      <c r="B230" s="27">
        <f t="shared" si="3"/>
        <v>25.05781734520356</v>
      </c>
      <c r="C230" s="27">
        <v>26.05781734520356</v>
      </c>
      <c r="D230" s="27">
        <v>27.435487097419482</v>
      </c>
      <c r="E230" s="27">
        <v>28.33133253301321</v>
      </c>
      <c r="F230" s="27">
        <v>29.098729618885663</v>
      </c>
      <c r="G230" s="27">
        <v>29.895979195839168</v>
      </c>
      <c r="H230" s="27">
        <v>30.686137227445489</v>
      </c>
      <c r="I230" s="27">
        <v>31.353135313531357</v>
      </c>
      <c r="J230" s="27">
        <v>32.683268326832689</v>
      </c>
      <c r="K230" s="27">
        <v>33.74</v>
      </c>
      <c r="L230" s="27">
        <v>35.167033406681334</v>
      </c>
      <c r="M230" s="27">
        <v>36.911073321996597</v>
      </c>
      <c r="N230" s="27">
        <v>38.163816381638163</v>
      </c>
      <c r="O230" s="27">
        <v>39.187837567513498</v>
      </c>
      <c r="P230" s="27">
        <v>40.664066406640664</v>
      </c>
    </row>
    <row r="231" spans="1:16" x14ac:dyDescent="0.25">
      <c r="A231" s="2">
        <v>229</v>
      </c>
      <c r="B231" s="27">
        <f t="shared" si="3"/>
        <v>24.907772331699508</v>
      </c>
      <c r="C231" s="27">
        <v>25.907772331699508</v>
      </c>
      <c r="D231" s="27">
        <v>27.275455091018202</v>
      </c>
      <c r="E231" s="27">
        <v>28.161264505802325</v>
      </c>
      <c r="F231" s="27">
        <v>28.928678603581073</v>
      </c>
      <c r="G231" s="27">
        <v>29.725945189037805</v>
      </c>
      <c r="H231" s="27">
        <v>30.496099219843966</v>
      </c>
      <c r="I231" s="27">
        <v>31.173117311731179</v>
      </c>
      <c r="J231" s="27">
        <v>32.493249324932499</v>
      </c>
      <c r="K231" s="27">
        <v>33.54</v>
      </c>
      <c r="L231" s="27">
        <v>34.976995399079811</v>
      </c>
      <c r="M231" s="27">
        <v>36.721016304891464</v>
      </c>
      <c r="N231" s="27">
        <v>37.973797379737981</v>
      </c>
      <c r="O231" s="27">
        <v>39.017803560712139</v>
      </c>
      <c r="P231" s="27">
        <v>40.474047404740482</v>
      </c>
    </row>
    <row r="232" spans="1:16" x14ac:dyDescent="0.25">
      <c r="A232" s="2">
        <v>230</v>
      </c>
      <c r="B232" s="27">
        <f t="shared" si="3"/>
        <v>24.747724317295184</v>
      </c>
      <c r="C232" s="27">
        <v>25.747724317295184</v>
      </c>
      <c r="D232" s="27">
        <v>27.115423084616921</v>
      </c>
      <c r="E232" s="27">
        <v>28.001200480192079</v>
      </c>
      <c r="F232" s="27">
        <v>28.768630589176752</v>
      </c>
      <c r="G232" s="27">
        <v>29.545909181836365</v>
      </c>
      <c r="H232" s="27">
        <v>30.316063212642526</v>
      </c>
      <c r="I232" s="27">
        <v>31.003100310031009</v>
      </c>
      <c r="J232" s="27">
        <v>32.313231323132321</v>
      </c>
      <c r="K232" s="27">
        <v>33.35</v>
      </c>
      <c r="L232" s="27">
        <v>34.786957391478296</v>
      </c>
      <c r="M232" s="27">
        <v>36.530959287786338</v>
      </c>
      <c r="N232" s="27">
        <v>37.783778377837791</v>
      </c>
      <c r="O232" s="27">
        <v>38.827765553110623</v>
      </c>
      <c r="P232" s="27">
        <v>40.304030403040308</v>
      </c>
    </row>
    <row r="233" spans="1:16" x14ac:dyDescent="0.25">
      <c r="A233" s="2">
        <v>231</v>
      </c>
      <c r="B233" s="27">
        <f t="shared" si="3"/>
        <v>24.597679303791136</v>
      </c>
      <c r="C233" s="27">
        <v>25.597679303791136</v>
      </c>
      <c r="D233" s="27">
        <v>26.935387077415481</v>
      </c>
      <c r="E233" s="27">
        <v>27.831132452981198</v>
      </c>
      <c r="F233" s="27">
        <v>28.598579573872161</v>
      </c>
      <c r="G233" s="27">
        <v>29.375875175035006</v>
      </c>
      <c r="H233" s="27">
        <v>30.136027205441085</v>
      </c>
      <c r="I233" s="27">
        <v>30.833083308330835</v>
      </c>
      <c r="J233" s="27">
        <v>32.143214321432147</v>
      </c>
      <c r="K233" s="27">
        <v>33.17</v>
      </c>
      <c r="L233" s="27">
        <v>34.596919383876781</v>
      </c>
      <c r="M233" s="27">
        <v>36.340902270681198</v>
      </c>
      <c r="N233" s="27">
        <v>37.603760376037613</v>
      </c>
      <c r="O233" s="27">
        <v>38.647729545909179</v>
      </c>
      <c r="P233" s="27">
        <v>40.134013401340141</v>
      </c>
    </row>
    <row r="234" spans="1:16" x14ac:dyDescent="0.25">
      <c r="A234" s="2">
        <v>232</v>
      </c>
      <c r="B234" s="27">
        <f t="shared" si="3"/>
        <v>24.437631289386815</v>
      </c>
      <c r="C234" s="27">
        <v>25.437631289386815</v>
      </c>
      <c r="D234" s="27">
        <v>26.75535107021404</v>
      </c>
      <c r="E234" s="27">
        <v>27.671068427370955</v>
      </c>
      <c r="F234" s="27">
        <v>28.428528558567571</v>
      </c>
      <c r="G234" s="27">
        <v>29.205841168233643</v>
      </c>
      <c r="H234" s="27">
        <v>29.965993198639726</v>
      </c>
      <c r="I234" s="27">
        <v>30.653065306530657</v>
      </c>
      <c r="J234" s="27">
        <v>31.973197319731977</v>
      </c>
      <c r="K234" s="27">
        <v>33.01</v>
      </c>
      <c r="L234" s="27">
        <v>34.396879375875173</v>
      </c>
      <c r="M234" s="27">
        <v>36.150845253576072</v>
      </c>
      <c r="N234" s="27">
        <v>37.423742374237428</v>
      </c>
      <c r="O234" s="27">
        <v>38.457691538307664</v>
      </c>
      <c r="P234" s="27">
        <v>39.963996399639967</v>
      </c>
    </row>
    <row r="235" spans="1:16" x14ac:dyDescent="0.25">
      <c r="A235" s="2">
        <v>233</v>
      </c>
      <c r="B235" s="27">
        <f t="shared" si="3"/>
        <v>24.287586275882763</v>
      </c>
      <c r="C235" s="27">
        <v>25.287586275882763</v>
      </c>
      <c r="D235" s="27">
        <v>26.585317063412681</v>
      </c>
      <c r="E235" s="27">
        <v>27.501000400160066</v>
      </c>
      <c r="F235" s="27">
        <v>28.248474542362704</v>
      </c>
      <c r="G235" s="27">
        <v>29.025805161032206</v>
      </c>
      <c r="H235" s="27">
        <v>29.795959191838367</v>
      </c>
      <c r="I235" s="27">
        <v>30.483048304830486</v>
      </c>
      <c r="J235" s="27">
        <v>31.783178317831787</v>
      </c>
      <c r="K235" s="27">
        <v>32.85</v>
      </c>
      <c r="L235" s="27">
        <v>34.206841368273658</v>
      </c>
      <c r="M235" s="27">
        <v>35.970791237371209</v>
      </c>
      <c r="N235" s="27">
        <v>37.243724372437249</v>
      </c>
      <c r="O235" s="27">
        <v>38.267653530706134</v>
      </c>
      <c r="P235" s="27">
        <v>39.773977397739785</v>
      </c>
    </row>
    <row r="236" spans="1:16" x14ac:dyDescent="0.25">
      <c r="A236" s="2">
        <v>234</v>
      </c>
      <c r="B236" s="27">
        <f t="shared" si="3"/>
        <v>24.137541262378711</v>
      </c>
      <c r="C236" s="27">
        <v>25.137541262378711</v>
      </c>
      <c r="D236" s="27">
        <v>26.435287057411482</v>
      </c>
      <c r="E236" s="27">
        <v>27.340936374549823</v>
      </c>
      <c r="F236" s="27">
        <v>28.068420526157844</v>
      </c>
      <c r="G236" s="27">
        <v>28.845769153830766</v>
      </c>
      <c r="H236" s="27">
        <v>29.625925185037008</v>
      </c>
      <c r="I236" s="27">
        <v>30.293029302930297</v>
      </c>
      <c r="J236" s="27">
        <v>31.603160316031609</v>
      </c>
      <c r="K236" s="27">
        <v>32.68</v>
      </c>
      <c r="L236" s="27">
        <v>34.04680936187237</v>
      </c>
      <c r="M236" s="27">
        <v>35.780734220266083</v>
      </c>
      <c r="N236" s="27">
        <v>37.053705370537052</v>
      </c>
      <c r="O236" s="27">
        <v>38.077615523104619</v>
      </c>
      <c r="P236" s="27">
        <v>39.583958395839588</v>
      </c>
    </row>
    <row r="237" spans="1:16" x14ac:dyDescent="0.25">
      <c r="A237" s="2">
        <v>235</v>
      </c>
      <c r="B237" s="27">
        <f t="shared" si="3"/>
        <v>23.997499249774929</v>
      </c>
      <c r="C237" s="27">
        <v>24.997499249774929</v>
      </c>
      <c r="D237" s="27">
        <v>26.295259051810358</v>
      </c>
      <c r="E237" s="27">
        <v>27.170868347338939</v>
      </c>
      <c r="F237" s="27">
        <v>27.908372511753523</v>
      </c>
      <c r="G237" s="27">
        <v>28.675735147029407</v>
      </c>
      <c r="H237" s="27">
        <v>29.455891178235646</v>
      </c>
      <c r="I237" s="27">
        <v>30.113011301130118</v>
      </c>
      <c r="J237" s="27">
        <v>31.44314431443145</v>
      </c>
      <c r="K237" s="27">
        <v>32.49</v>
      </c>
      <c r="L237" s="27">
        <v>33.886777355471096</v>
      </c>
      <c r="M237" s="27">
        <v>35.580674202260674</v>
      </c>
      <c r="N237" s="27">
        <v>36.873687368736874</v>
      </c>
      <c r="O237" s="27">
        <v>37.897579515903182</v>
      </c>
      <c r="P237" s="27">
        <v>39.40394039403941</v>
      </c>
    </row>
    <row r="238" spans="1:16" x14ac:dyDescent="0.25">
      <c r="A238" s="2">
        <v>236</v>
      </c>
      <c r="B238" s="27">
        <f t="shared" si="3"/>
        <v>23.837451235370608</v>
      </c>
      <c r="C238" s="27">
        <v>24.837451235370608</v>
      </c>
      <c r="D238" s="27">
        <v>26.14522904580916</v>
      </c>
      <c r="E238" s="27">
        <v>27.020808323329337</v>
      </c>
      <c r="F238" s="27">
        <v>27.758327498249471</v>
      </c>
      <c r="G238" s="27">
        <v>28.525705141028205</v>
      </c>
      <c r="H238" s="27">
        <v>29.275855171034205</v>
      </c>
      <c r="I238" s="27">
        <v>29.942994299429948</v>
      </c>
      <c r="J238" s="27">
        <v>31.283128312831288</v>
      </c>
      <c r="K238" s="27">
        <v>32.299999999999997</v>
      </c>
      <c r="L238" s="27">
        <v>33.726745349069809</v>
      </c>
      <c r="M238" s="27">
        <v>35.400620186055818</v>
      </c>
      <c r="N238" s="27">
        <v>36.693669366936696</v>
      </c>
      <c r="O238" s="27">
        <v>37.717543508701738</v>
      </c>
      <c r="P238" s="27">
        <v>39.233923392339236</v>
      </c>
    </row>
    <row r="239" spans="1:16" x14ac:dyDescent="0.25">
      <c r="A239" s="2">
        <v>237</v>
      </c>
      <c r="B239" s="27">
        <f t="shared" si="3"/>
        <v>23.687406221866556</v>
      </c>
      <c r="C239" s="27">
        <v>24.687406221866556</v>
      </c>
      <c r="D239" s="27">
        <v>25.985197039407883</v>
      </c>
      <c r="E239" s="27">
        <v>26.860744297719094</v>
      </c>
      <c r="F239" s="27">
        <v>27.608282484745423</v>
      </c>
      <c r="G239" s="27">
        <v>28.355671134226846</v>
      </c>
      <c r="H239" s="27">
        <v>29.105821164232847</v>
      </c>
      <c r="I239" s="27">
        <v>29.782978297829789</v>
      </c>
      <c r="J239" s="27">
        <v>31.113111311131117</v>
      </c>
      <c r="K239" s="27">
        <v>32.119999999999997</v>
      </c>
      <c r="L239" s="27">
        <v>33.536707341468293</v>
      </c>
      <c r="M239" s="27">
        <v>35.250575172551763</v>
      </c>
      <c r="N239" s="27">
        <v>36.513651365136518</v>
      </c>
      <c r="O239" s="27">
        <v>37.547509501900379</v>
      </c>
      <c r="P239" s="27">
        <v>39.053905390539057</v>
      </c>
    </row>
    <row r="240" spans="1:16" x14ac:dyDescent="0.25">
      <c r="A240" s="2">
        <v>238</v>
      </c>
      <c r="B240" s="27">
        <f t="shared" si="3"/>
        <v>23.51735520656197</v>
      </c>
      <c r="C240" s="27">
        <v>24.51735520656197</v>
      </c>
      <c r="D240" s="27">
        <v>25.835167033406677</v>
      </c>
      <c r="E240" s="27">
        <v>26.710684273709486</v>
      </c>
      <c r="F240" s="27">
        <v>27.448234470341102</v>
      </c>
      <c r="G240" s="27">
        <v>28.185637127425483</v>
      </c>
      <c r="H240" s="27">
        <v>28.945789157831566</v>
      </c>
      <c r="I240" s="27">
        <v>29.622962296229627</v>
      </c>
      <c r="J240" s="27">
        <v>30.943094309430947</v>
      </c>
      <c r="K240" s="27">
        <v>31.95</v>
      </c>
      <c r="L240" s="27">
        <v>33.346669333866778</v>
      </c>
      <c r="M240" s="27">
        <v>35.080524157247169</v>
      </c>
      <c r="N240" s="27">
        <v>36.323632363236328</v>
      </c>
      <c r="O240" s="27">
        <v>37.357471494298856</v>
      </c>
      <c r="P240" s="27">
        <v>38.853885388538863</v>
      </c>
    </row>
    <row r="241" spans="1:16" x14ac:dyDescent="0.25">
      <c r="A241" s="2">
        <v>239</v>
      </c>
      <c r="B241" s="27">
        <f t="shared" si="3"/>
        <v>23.357307192157649</v>
      </c>
      <c r="C241" s="27">
        <v>24.357307192157649</v>
      </c>
      <c r="D241" s="27">
        <v>25.685137027405478</v>
      </c>
      <c r="E241" s="27">
        <v>26.550620248099243</v>
      </c>
      <c r="F241" s="27">
        <v>27.268180454136239</v>
      </c>
      <c r="G241" s="27">
        <v>28.025605121024203</v>
      </c>
      <c r="H241" s="27">
        <v>28.785757151430285</v>
      </c>
      <c r="I241" s="27">
        <v>29.462946294629468</v>
      </c>
      <c r="J241" s="27">
        <v>30.763076307630769</v>
      </c>
      <c r="K241" s="27">
        <v>31.79</v>
      </c>
      <c r="L241" s="27">
        <v>33.176635327065412</v>
      </c>
      <c r="M241" s="27">
        <v>34.900470141042312</v>
      </c>
      <c r="N241" s="27">
        <v>36.133613361336138</v>
      </c>
      <c r="O241" s="27">
        <v>37.167433486697334</v>
      </c>
      <c r="P241" s="27">
        <v>38.663866386638666</v>
      </c>
    </row>
    <row r="242" spans="1:16" x14ac:dyDescent="0.25">
      <c r="A242" s="2">
        <v>240</v>
      </c>
      <c r="B242" s="27">
        <f t="shared" si="3"/>
        <v>23.187256176853055</v>
      </c>
      <c r="C242" s="27">
        <v>24.187256176853055</v>
      </c>
      <c r="D242" s="27">
        <v>25.555111022204439</v>
      </c>
      <c r="E242" s="27">
        <v>26.390556222489</v>
      </c>
      <c r="F242" s="27">
        <v>27.108132439731918</v>
      </c>
      <c r="G242" s="27">
        <v>27.875575115023004</v>
      </c>
      <c r="H242" s="27">
        <v>28.635727145429083</v>
      </c>
      <c r="I242" s="27">
        <v>29.292929292929298</v>
      </c>
      <c r="J242" s="27">
        <v>30.60306030603061</v>
      </c>
      <c r="K242" s="27">
        <v>31.62</v>
      </c>
      <c r="L242" s="27">
        <v>32.996599319863975</v>
      </c>
      <c r="M242" s="27">
        <v>34.720416124837449</v>
      </c>
      <c r="N242" s="27">
        <v>35.973597359735976</v>
      </c>
      <c r="O242" s="27">
        <v>36.997399479895982</v>
      </c>
      <c r="P242" s="27">
        <v>38.4938493849385</v>
      </c>
    </row>
    <row r="243" spans="1:16" x14ac:dyDescent="0.25">
      <c r="A243" s="2">
        <v>241</v>
      </c>
      <c r="B243" s="27">
        <f t="shared" si="3"/>
        <v>23.027208162448733</v>
      </c>
      <c r="C243" s="27">
        <v>24.027208162448733</v>
      </c>
      <c r="D243" s="27">
        <v>25.425085017003401</v>
      </c>
      <c r="E243" s="27">
        <v>26.240496198479395</v>
      </c>
      <c r="F243" s="27">
        <v>26.958087426227866</v>
      </c>
      <c r="G243" s="27">
        <v>27.725545109021802</v>
      </c>
      <c r="H243" s="27">
        <v>28.475695139027803</v>
      </c>
      <c r="I243" s="27">
        <v>29.132913291329135</v>
      </c>
      <c r="J243" s="27">
        <v>30.443044304430448</v>
      </c>
      <c r="K243" s="27">
        <v>31.44</v>
      </c>
      <c r="L243" s="27">
        <v>32.826565313062609</v>
      </c>
      <c r="M243" s="27">
        <v>34.550365109532855</v>
      </c>
      <c r="N243" s="27">
        <v>35.803580358035809</v>
      </c>
      <c r="O243" s="27">
        <v>36.827365473094616</v>
      </c>
      <c r="P243" s="27">
        <v>38.333833383338337</v>
      </c>
    </row>
    <row r="244" spans="1:16" x14ac:dyDescent="0.25">
      <c r="A244" s="2">
        <v>242</v>
      </c>
      <c r="B244" s="27">
        <f t="shared" si="3"/>
        <v>22.887166149844951</v>
      </c>
      <c r="C244" s="27">
        <v>23.887166149844951</v>
      </c>
      <c r="D244" s="27">
        <v>25.275055011002198</v>
      </c>
      <c r="E244" s="27">
        <v>26.09043617446979</v>
      </c>
      <c r="F244" s="27">
        <v>26.818045413624084</v>
      </c>
      <c r="G244" s="27">
        <v>27.565513102620521</v>
      </c>
      <c r="H244" s="27">
        <v>28.315663132626522</v>
      </c>
      <c r="I244" s="27">
        <v>28.982898289828988</v>
      </c>
      <c r="J244" s="27">
        <v>30.283028302830289</v>
      </c>
      <c r="K244" s="27">
        <v>31.26</v>
      </c>
      <c r="L244" s="27">
        <v>32.666533306661329</v>
      </c>
      <c r="M244" s="27">
        <v>34.380314094228261</v>
      </c>
      <c r="N244" s="27">
        <v>35.633563356335642</v>
      </c>
      <c r="O244" s="27">
        <v>36.647329465893179</v>
      </c>
      <c r="P244" s="27">
        <v>38.153815381538159</v>
      </c>
    </row>
    <row r="245" spans="1:16" x14ac:dyDescent="0.25">
      <c r="A245" s="2">
        <v>243</v>
      </c>
      <c r="B245" s="27">
        <f t="shared" si="3"/>
        <v>22.747124137241169</v>
      </c>
      <c r="C245" s="27">
        <v>23.747124137241169</v>
      </c>
      <c r="D245" s="27">
        <v>25.115023004600918</v>
      </c>
      <c r="E245" s="27">
        <v>25.940376150460189</v>
      </c>
      <c r="F245" s="27">
        <v>26.657997399219763</v>
      </c>
      <c r="G245" s="27">
        <v>27.415483096619322</v>
      </c>
      <c r="H245" s="27">
        <v>28.155631126225241</v>
      </c>
      <c r="I245" s="27">
        <v>28.832883288328834</v>
      </c>
      <c r="J245" s="27">
        <v>30.12301230123013</v>
      </c>
      <c r="K245" s="27">
        <v>31.09</v>
      </c>
      <c r="L245" s="27">
        <v>32.49649929985997</v>
      </c>
      <c r="M245" s="27">
        <v>34.220266079823944</v>
      </c>
      <c r="N245" s="27">
        <v>35.463546354635469</v>
      </c>
      <c r="O245" s="27">
        <v>36.457291458291657</v>
      </c>
      <c r="P245" s="27">
        <v>37.963796379637969</v>
      </c>
    </row>
    <row r="246" spans="1:16" x14ac:dyDescent="0.25">
      <c r="A246" s="2">
        <v>244</v>
      </c>
      <c r="B246" s="27">
        <f t="shared" si="3"/>
        <v>22.61708512553766</v>
      </c>
      <c r="C246" s="27">
        <v>23.61708512553766</v>
      </c>
      <c r="D246" s="27">
        <v>24.974994998999797</v>
      </c>
      <c r="E246" s="27">
        <v>25.790316126450584</v>
      </c>
      <c r="F246" s="27">
        <v>26.507952385715711</v>
      </c>
      <c r="G246" s="27">
        <v>27.265453090618124</v>
      </c>
      <c r="H246" s="27">
        <v>27.995599119823961</v>
      </c>
      <c r="I246" s="27">
        <v>28.672867286728678</v>
      </c>
      <c r="J246" s="27">
        <v>29.962996299629967</v>
      </c>
      <c r="K246" s="27">
        <v>30.93</v>
      </c>
      <c r="L246" s="27">
        <v>32.326465293058611</v>
      </c>
      <c r="M246" s="27">
        <v>34.060218065419619</v>
      </c>
      <c r="N246" s="27">
        <v>35.28352835283529</v>
      </c>
      <c r="O246" s="27">
        <v>36.287257451490298</v>
      </c>
      <c r="P246" s="27">
        <v>37.793779377937796</v>
      </c>
    </row>
    <row r="247" spans="1:16" x14ac:dyDescent="0.25">
      <c r="A247" s="2">
        <v>245</v>
      </c>
      <c r="B247" s="27">
        <f t="shared" si="3"/>
        <v>22.467040112033608</v>
      </c>
      <c r="C247" s="27">
        <v>23.467040112033608</v>
      </c>
      <c r="D247" s="27">
        <v>24.834966993398677</v>
      </c>
      <c r="E247" s="27">
        <v>25.640256102440979</v>
      </c>
      <c r="F247" s="27">
        <v>26.367910373111933</v>
      </c>
      <c r="G247" s="27">
        <v>27.095419083816761</v>
      </c>
      <c r="H247" s="27">
        <v>27.845569113822762</v>
      </c>
      <c r="I247" s="27">
        <v>28.512851285128519</v>
      </c>
      <c r="J247" s="27">
        <v>29.792979297929797</v>
      </c>
      <c r="K247" s="27">
        <v>30.77</v>
      </c>
      <c r="L247" s="27">
        <v>32.146429285857174</v>
      </c>
      <c r="M247" s="27">
        <v>33.890167050115032</v>
      </c>
      <c r="N247" s="27">
        <v>35.103510351035112</v>
      </c>
      <c r="O247" s="27">
        <v>36.137227445489096</v>
      </c>
      <c r="P247" s="27">
        <v>37.63376337633764</v>
      </c>
    </row>
    <row r="248" spans="1:16" x14ac:dyDescent="0.25">
      <c r="A248" s="2">
        <v>246</v>
      </c>
      <c r="B248" s="27">
        <f t="shared" si="3"/>
        <v>22.326998099429829</v>
      </c>
      <c r="C248" s="27">
        <v>23.326998099429829</v>
      </c>
      <c r="D248" s="27">
        <v>24.69493898779756</v>
      </c>
      <c r="E248" s="27">
        <v>25.510204081632658</v>
      </c>
      <c r="F248" s="27">
        <v>26.217865359607881</v>
      </c>
      <c r="G248" s="27">
        <v>26.945389077815562</v>
      </c>
      <c r="H248" s="27">
        <v>27.685537107421482</v>
      </c>
      <c r="I248" s="27">
        <v>28.352835283528357</v>
      </c>
      <c r="J248" s="27">
        <v>29.602960296029607</v>
      </c>
      <c r="K248" s="27">
        <v>30.61</v>
      </c>
      <c r="L248" s="27">
        <v>31.96639327865573</v>
      </c>
      <c r="M248" s="27">
        <v>33.720116034810445</v>
      </c>
      <c r="N248" s="27">
        <v>34.923492349234927</v>
      </c>
      <c r="O248" s="27">
        <v>35.977195439087815</v>
      </c>
      <c r="P248" s="27">
        <v>37.453745374537462</v>
      </c>
    </row>
    <row r="249" spans="1:16" x14ac:dyDescent="0.25">
      <c r="A249" s="2">
        <v>247</v>
      </c>
      <c r="B249" s="27">
        <f t="shared" si="3"/>
        <v>22.176953085925778</v>
      </c>
      <c r="C249" s="27">
        <v>23.176953085925778</v>
      </c>
      <c r="D249" s="27">
        <v>24.554910982196439</v>
      </c>
      <c r="E249" s="27">
        <v>25.370148059223691</v>
      </c>
      <c r="F249" s="27">
        <v>26.05781734520356</v>
      </c>
      <c r="G249" s="27">
        <v>26.805361072214442</v>
      </c>
      <c r="H249" s="27">
        <v>27.535507101420283</v>
      </c>
      <c r="I249" s="27">
        <v>28.192819281928198</v>
      </c>
      <c r="J249" s="27">
        <v>29.442944294429449</v>
      </c>
      <c r="K249" s="27">
        <v>30.47</v>
      </c>
      <c r="L249" s="27">
        <v>31.806361272254449</v>
      </c>
      <c r="M249" s="27">
        <v>33.540062018605582</v>
      </c>
      <c r="N249" s="27">
        <v>34.763476347634764</v>
      </c>
      <c r="O249" s="27">
        <v>35.807161432286456</v>
      </c>
      <c r="P249" s="27">
        <v>37.283728372837288</v>
      </c>
    </row>
    <row r="250" spans="1:16" x14ac:dyDescent="0.25">
      <c r="A250" s="2">
        <v>248</v>
      </c>
      <c r="B250" s="27">
        <f t="shared" si="3"/>
        <v>22.026908072421726</v>
      </c>
      <c r="C250" s="27">
        <v>23.026908072421726</v>
      </c>
      <c r="D250" s="27">
        <v>24.424884976995401</v>
      </c>
      <c r="E250" s="27">
        <v>25.20008003201281</v>
      </c>
      <c r="F250" s="27">
        <v>25.897769330799239</v>
      </c>
      <c r="G250" s="27">
        <v>26.65533106621324</v>
      </c>
      <c r="H250" s="27">
        <v>27.375475095019002</v>
      </c>
      <c r="I250" s="27">
        <v>28.042804280428047</v>
      </c>
      <c r="J250" s="27">
        <v>29.312931293129317</v>
      </c>
      <c r="K250" s="27">
        <v>30.31</v>
      </c>
      <c r="L250" s="27">
        <v>31.646329265853169</v>
      </c>
      <c r="M250" s="27">
        <v>33.360008002400718</v>
      </c>
      <c r="N250" s="27">
        <v>34.603460346034609</v>
      </c>
      <c r="O250" s="27">
        <v>35.637127425485097</v>
      </c>
      <c r="P250" s="27">
        <v>37.123712371237126</v>
      </c>
    </row>
    <row r="251" spans="1:16" x14ac:dyDescent="0.25">
      <c r="A251" s="2">
        <v>249</v>
      </c>
      <c r="B251" s="27">
        <f t="shared" si="3"/>
        <v>21.896869060718213</v>
      </c>
      <c r="C251" s="27">
        <v>22.896869060718213</v>
      </c>
      <c r="D251" s="27">
        <v>24.274854970994198</v>
      </c>
      <c r="E251" s="27">
        <v>25.030012004801925</v>
      </c>
      <c r="F251" s="27">
        <v>25.747724317295184</v>
      </c>
      <c r="G251" s="27">
        <v>26.505301060212041</v>
      </c>
      <c r="H251" s="27">
        <v>27.215443088617722</v>
      </c>
      <c r="I251" s="27">
        <v>27.882788278827885</v>
      </c>
      <c r="J251" s="27">
        <v>29.172917291729178</v>
      </c>
      <c r="K251" s="27">
        <v>30.14</v>
      </c>
      <c r="L251" s="27">
        <v>31.486297259451888</v>
      </c>
      <c r="M251" s="27">
        <v>33.189956987096124</v>
      </c>
      <c r="N251" s="27">
        <v>34.433443344334435</v>
      </c>
      <c r="O251" s="27">
        <v>35.467093418683739</v>
      </c>
      <c r="P251" s="27">
        <v>36.953695369536959</v>
      </c>
    </row>
    <row r="252" spans="1:16" x14ac:dyDescent="0.25">
      <c r="A252" s="2">
        <v>250</v>
      </c>
      <c r="B252" s="27">
        <f t="shared" si="3"/>
        <v>21.756827048114435</v>
      </c>
      <c r="C252" s="27">
        <v>22.756827048114435</v>
      </c>
      <c r="D252" s="27">
        <v>24.134826965393078</v>
      </c>
      <c r="E252" s="27">
        <v>24.889955982392959</v>
      </c>
      <c r="F252" s="27">
        <v>25.607682304691409</v>
      </c>
      <c r="G252" s="27">
        <v>26.355271054210842</v>
      </c>
      <c r="H252" s="27">
        <v>27.065413082616519</v>
      </c>
      <c r="I252" s="27">
        <v>27.722772277227726</v>
      </c>
      <c r="J252" s="27">
        <v>29.012901290129019</v>
      </c>
      <c r="K252" s="27">
        <v>29.98</v>
      </c>
      <c r="L252" s="27">
        <v>31.306261252250451</v>
      </c>
      <c r="M252" s="27">
        <v>33.009902970891268</v>
      </c>
      <c r="N252" s="27">
        <v>34.27342734273428</v>
      </c>
      <c r="O252" s="27">
        <v>35.307061412282451</v>
      </c>
      <c r="P252" s="27">
        <v>36.773677367736781</v>
      </c>
    </row>
    <row r="253" spans="1:16" x14ac:dyDescent="0.25">
      <c r="A253" s="2">
        <v>251</v>
      </c>
      <c r="B253" s="27">
        <f t="shared" si="3"/>
        <v>21.626788036410922</v>
      </c>
      <c r="C253" s="27">
        <v>22.626788036410922</v>
      </c>
      <c r="D253" s="27">
        <v>24.004800960192036</v>
      </c>
      <c r="E253" s="27">
        <v>24.739895958383357</v>
      </c>
      <c r="F253" s="27">
        <v>25.467640292087626</v>
      </c>
      <c r="G253" s="27">
        <v>26.20524104820964</v>
      </c>
      <c r="H253" s="27">
        <v>26.915383076615321</v>
      </c>
      <c r="I253" s="27">
        <v>27.562756275627564</v>
      </c>
      <c r="J253" s="27">
        <v>28.842884288428845</v>
      </c>
      <c r="K253" s="27">
        <v>29.81</v>
      </c>
      <c r="L253" s="27">
        <v>31.136227245449088</v>
      </c>
      <c r="M253" s="27">
        <v>32.839851955586674</v>
      </c>
      <c r="N253" s="27">
        <v>34.103410341034106</v>
      </c>
      <c r="O253" s="27">
        <v>35.137027405481099</v>
      </c>
      <c r="P253" s="27">
        <v>36.603660366036607</v>
      </c>
    </row>
    <row r="254" spans="1:16" x14ac:dyDescent="0.25">
      <c r="A254" s="2">
        <v>252</v>
      </c>
      <c r="B254" s="27">
        <f t="shared" si="3"/>
        <v>21.496749024707409</v>
      </c>
      <c r="C254" s="27">
        <v>22.496749024707409</v>
      </c>
      <c r="D254" s="27">
        <v>23.864772954590915</v>
      </c>
      <c r="E254" s="27">
        <v>24.609843937575036</v>
      </c>
      <c r="F254" s="27">
        <v>25.317595278583571</v>
      </c>
      <c r="G254" s="27">
        <v>26.065213042608519</v>
      </c>
      <c r="H254" s="27">
        <v>26.765353070614122</v>
      </c>
      <c r="I254" s="27">
        <v>27.392739273927397</v>
      </c>
      <c r="J254" s="27">
        <v>28.672867286728678</v>
      </c>
      <c r="K254" s="27">
        <v>29.64</v>
      </c>
      <c r="L254" s="27">
        <v>30.98619723944789</v>
      </c>
      <c r="M254" s="27">
        <v>32.679803941182357</v>
      </c>
      <c r="N254" s="27">
        <v>33.923392339233928</v>
      </c>
      <c r="O254" s="27">
        <v>34.956991398279655</v>
      </c>
      <c r="P254" s="27">
        <v>36.443644364436445</v>
      </c>
    </row>
    <row r="255" spans="1:16" x14ac:dyDescent="0.25">
      <c r="A255" s="2">
        <v>253</v>
      </c>
      <c r="B255" s="27">
        <f t="shared" si="3"/>
        <v>21.346704011203361</v>
      </c>
      <c r="C255" s="27">
        <v>22.346704011203361</v>
      </c>
      <c r="D255" s="27">
        <v>23.714742948589716</v>
      </c>
      <c r="E255" s="27">
        <v>24.479791916766711</v>
      </c>
      <c r="F255" s="27">
        <v>25.167550265079523</v>
      </c>
      <c r="G255" s="27">
        <v>25.915183036607321</v>
      </c>
      <c r="H255" s="27">
        <v>26.61532306461292</v>
      </c>
      <c r="I255" s="27">
        <v>27.252725272527258</v>
      </c>
      <c r="J255" s="27">
        <v>28.512851285128519</v>
      </c>
      <c r="K255" s="27">
        <v>29.47</v>
      </c>
      <c r="L255" s="27">
        <v>30.836167233446687</v>
      </c>
      <c r="M255" s="27">
        <v>32.519755926778032</v>
      </c>
      <c r="N255" s="27">
        <v>33.763376337633765</v>
      </c>
      <c r="O255" s="27">
        <v>34.796959391878374</v>
      </c>
      <c r="P255" s="27">
        <v>36.273627362736285</v>
      </c>
    </row>
    <row r="256" spans="1:16" x14ac:dyDescent="0.25">
      <c r="A256" s="2">
        <v>254</v>
      </c>
      <c r="B256" s="27">
        <f t="shared" si="3"/>
        <v>21.186655996799036</v>
      </c>
      <c r="C256" s="27">
        <v>22.186655996799036</v>
      </c>
      <c r="D256" s="27">
        <v>23.584716943388674</v>
      </c>
      <c r="E256" s="27">
        <v>24.339735894357744</v>
      </c>
      <c r="F256" s="27">
        <v>25.007502250675202</v>
      </c>
      <c r="G256" s="27">
        <v>25.765153030606122</v>
      </c>
      <c r="H256" s="27">
        <v>26.455291058211639</v>
      </c>
      <c r="I256" s="27">
        <v>27.112711271127115</v>
      </c>
      <c r="J256" s="27">
        <v>28.352835283528357</v>
      </c>
      <c r="K256" s="27">
        <v>29.31</v>
      </c>
      <c r="L256" s="27">
        <v>30.666133226645329</v>
      </c>
      <c r="M256" s="27">
        <v>32.349704911473445</v>
      </c>
      <c r="N256" s="27">
        <v>33.593359335933599</v>
      </c>
      <c r="O256" s="27">
        <v>34.626925385077008</v>
      </c>
      <c r="P256" s="27">
        <v>36.103610361036111</v>
      </c>
    </row>
    <row r="257" spans="1:16" x14ac:dyDescent="0.25">
      <c r="A257" s="2">
        <v>255</v>
      </c>
      <c r="B257" s="27">
        <f t="shared" si="3"/>
        <v>21.036610983294988</v>
      </c>
      <c r="C257" s="27">
        <v>22.036610983294988</v>
      </c>
      <c r="D257" s="27">
        <v>23.434686937387475</v>
      </c>
      <c r="E257" s="27">
        <v>24.199679871948785</v>
      </c>
      <c r="F257" s="27">
        <v>24.85745723717115</v>
      </c>
      <c r="G257" s="27">
        <v>25.605121024204841</v>
      </c>
      <c r="H257" s="27">
        <v>26.30526105221044</v>
      </c>
      <c r="I257" s="27">
        <v>26.962696269626967</v>
      </c>
      <c r="J257" s="27">
        <v>28.212821282128218</v>
      </c>
      <c r="K257" s="27">
        <v>29.15</v>
      </c>
      <c r="L257" s="27">
        <v>30.506101220244048</v>
      </c>
      <c r="M257" s="27">
        <v>32.19965989796939</v>
      </c>
      <c r="N257" s="27">
        <v>33.413341334133413</v>
      </c>
      <c r="O257" s="27">
        <v>34.466893378675735</v>
      </c>
      <c r="P257" s="27">
        <v>35.933593359335937</v>
      </c>
    </row>
    <row r="258" spans="1:16" x14ac:dyDescent="0.25">
      <c r="A258" s="2">
        <v>256</v>
      </c>
      <c r="B258" s="27">
        <f t="shared" si="3"/>
        <v>20.886565969790936</v>
      </c>
      <c r="C258" s="27">
        <v>21.886565969790936</v>
      </c>
      <c r="D258" s="27">
        <v>23.284656931386277</v>
      </c>
      <c r="E258" s="27">
        <v>24.04961984793918</v>
      </c>
      <c r="F258" s="27">
        <v>24.717415224567368</v>
      </c>
      <c r="G258" s="27">
        <v>25.465093018603721</v>
      </c>
      <c r="H258" s="27">
        <v>26.14522904580916</v>
      </c>
      <c r="I258" s="27">
        <v>26.792679267926797</v>
      </c>
      <c r="J258" s="27">
        <v>28.062806280628067</v>
      </c>
      <c r="K258" s="27">
        <v>28.99</v>
      </c>
      <c r="L258" s="27">
        <v>30.346069213842767</v>
      </c>
      <c r="M258" s="27">
        <v>32.039611883565065</v>
      </c>
      <c r="N258" s="27">
        <v>33.243324332433247</v>
      </c>
      <c r="O258" s="27">
        <v>34.286857371474298</v>
      </c>
      <c r="P258" s="27">
        <v>35.773577357735782</v>
      </c>
    </row>
    <row r="259" spans="1:16" x14ac:dyDescent="0.25">
      <c r="A259" s="2">
        <v>257</v>
      </c>
      <c r="B259" s="27">
        <f t="shared" ref="B259:B322" si="4">C259-1</f>
        <v>20.756526958087424</v>
      </c>
      <c r="C259" s="27">
        <v>21.756526958087424</v>
      </c>
      <c r="D259" s="27">
        <v>23.144628925785156</v>
      </c>
      <c r="E259" s="27">
        <v>23.909563825530213</v>
      </c>
      <c r="F259" s="27">
        <v>24.587376212863855</v>
      </c>
      <c r="G259" s="27">
        <v>25.315063012602518</v>
      </c>
      <c r="H259" s="27">
        <v>26.005201040208039</v>
      </c>
      <c r="I259" s="27">
        <v>26.632663266326634</v>
      </c>
      <c r="J259" s="27">
        <v>27.892789278927896</v>
      </c>
      <c r="K259" s="27">
        <v>28.84</v>
      </c>
      <c r="L259" s="27">
        <v>30.186037207441487</v>
      </c>
      <c r="M259" s="27">
        <v>31.869560868260475</v>
      </c>
      <c r="N259" s="27">
        <v>33.093309330933103</v>
      </c>
      <c r="O259" s="27">
        <v>34.12682536507301</v>
      </c>
      <c r="P259" s="27">
        <v>35.603560356035608</v>
      </c>
    </row>
    <row r="260" spans="1:16" x14ac:dyDescent="0.25">
      <c r="A260" s="2">
        <v>258</v>
      </c>
      <c r="B260" s="27">
        <f t="shared" si="4"/>
        <v>20.626487946383914</v>
      </c>
      <c r="C260" s="27">
        <v>21.626487946383914</v>
      </c>
      <c r="D260" s="27">
        <v>23.024604920984196</v>
      </c>
      <c r="E260" s="27">
        <v>23.759503801520612</v>
      </c>
      <c r="F260" s="27">
        <v>24.447334200260077</v>
      </c>
      <c r="G260" s="27">
        <v>25.16503300660132</v>
      </c>
      <c r="H260" s="27">
        <v>25.85517103420684</v>
      </c>
      <c r="I260" s="27">
        <v>26.472647264726476</v>
      </c>
      <c r="J260" s="27">
        <v>27.732773277327738</v>
      </c>
      <c r="K260" s="27">
        <v>28.7</v>
      </c>
      <c r="L260" s="27">
        <v>30.016003200640128</v>
      </c>
      <c r="M260" s="27">
        <v>31.689506852055615</v>
      </c>
      <c r="N260" s="27">
        <v>32.943294329432945</v>
      </c>
      <c r="O260" s="27">
        <v>33.966793358671737</v>
      </c>
      <c r="P260" s="27">
        <v>35.443544354435446</v>
      </c>
    </row>
    <row r="261" spans="1:16" x14ac:dyDescent="0.25">
      <c r="A261" s="2">
        <v>259</v>
      </c>
      <c r="B261" s="27">
        <f t="shared" si="4"/>
        <v>20.506451935580674</v>
      </c>
      <c r="C261" s="27">
        <v>21.506451935580674</v>
      </c>
      <c r="D261" s="27">
        <v>22.904580916183235</v>
      </c>
      <c r="E261" s="27">
        <v>23.619447779111649</v>
      </c>
      <c r="F261" s="27">
        <v>24.307292187656294</v>
      </c>
      <c r="G261" s="27">
        <v>25.025005001000199</v>
      </c>
      <c r="H261" s="27">
        <v>25.71514302860572</v>
      </c>
      <c r="I261" s="27">
        <v>26.322632263226328</v>
      </c>
      <c r="J261" s="27">
        <v>27.582758275827587</v>
      </c>
      <c r="K261" s="27">
        <v>28.54</v>
      </c>
      <c r="L261" s="27">
        <v>29.855971194238847</v>
      </c>
      <c r="M261" s="27">
        <v>31.539461838551563</v>
      </c>
      <c r="N261" s="27">
        <v>32.78327832783279</v>
      </c>
      <c r="O261" s="27">
        <v>33.796759351870371</v>
      </c>
      <c r="P261" s="27">
        <v>35.28352835283529</v>
      </c>
    </row>
    <row r="262" spans="1:16" x14ac:dyDescent="0.25">
      <c r="A262" s="2">
        <v>260</v>
      </c>
      <c r="B262" s="27">
        <f t="shared" si="4"/>
        <v>20.386415924777431</v>
      </c>
      <c r="C262" s="27">
        <v>21.386415924777431</v>
      </c>
      <c r="D262" s="27">
        <v>22.764552910582118</v>
      </c>
      <c r="E262" s="27">
        <v>23.489395758303324</v>
      </c>
      <c r="F262" s="27">
        <v>24.157247174152243</v>
      </c>
      <c r="G262" s="27">
        <v>24.884976995399079</v>
      </c>
      <c r="H262" s="27">
        <v>25.565113022604518</v>
      </c>
      <c r="I262" s="27">
        <v>26.182618261826185</v>
      </c>
      <c r="J262" s="27">
        <v>27.442744274427447</v>
      </c>
      <c r="K262" s="27">
        <v>28.38</v>
      </c>
      <c r="L262" s="27">
        <v>29.705941188237645</v>
      </c>
      <c r="M262" s="27">
        <v>31.389416825047512</v>
      </c>
      <c r="N262" s="27">
        <v>32.623262326232627</v>
      </c>
      <c r="O262" s="27">
        <v>33.626725345069012</v>
      </c>
      <c r="P262" s="27">
        <v>35.103510351035112</v>
      </c>
    </row>
    <row r="263" spans="1:16" x14ac:dyDescent="0.25">
      <c r="A263" s="2">
        <v>261</v>
      </c>
      <c r="B263" s="27">
        <f t="shared" si="4"/>
        <v>20.266379913974191</v>
      </c>
      <c r="C263" s="27">
        <v>21.266379913974191</v>
      </c>
      <c r="D263" s="27">
        <v>22.624524904980998</v>
      </c>
      <c r="E263" s="27">
        <v>23.359343737495003</v>
      </c>
      <c r="F263" s="27">
        <v>24.017205161548464</v>
      </c>
      <c r="G263" s="27">
        <v>24.73494698939788</v>
      </c>
      <c r="H263" s="27">
        <v>25.425085017003401</v>
      </c>
      <c r="I263" s="27">
        <v>26.042604260426046</v>
      </c>
      <c r="J263" s="27">
        <v>27.282728272827288</v>
      </c>
      <c r="K263" s="27">
        <v>28.23</v>
      </c>
      <c r="L263" s="27">
        <v>29.545909181836365</v>
      </c>
      <c r="M263" s="27">
        <v>31.229368810643191</v>
      </c>
      <c r="N263" s="27">
        <v>32.463246324632472</v>
      </c>
      <c r="O263" s="27">
        <v>33.466693338667731</v>
      </c>
      <c r="P263" s="27">
        <v>34.943494349434943</v>
      </c>
    </row>
    <row r="264" spans="1:16" x14ac:dyDescent="0.25">
      <c r="A264" s="2">
        <v>262</v>
      </c>
      <c r="B264" s="27">
        <f t="shared" si="4"/>
        <v>20.146343903170951</v>
      </c>
      <c r="C264" s="27">
        <v>21.146343903170951</v>
      </c>
      <c r="D264" s="27">
        <v>22.494498899779952</v>
      </c>
      <c r="E264" s="27">
        <v>23.21928771508604</v>
      </c>
      <c r="F264" s="27">
        <v>23.877163148944682</v>
      </c>
      <c r="G264" s="27">
        <v>24.594918983796759</v>
      </c>
      <c r="H264" s="27">
        <v>25.275055011002198</v>
      </c>
      <c r="I264" s="27">
        <v>25.902590259025907</v>
      </c>
      <c r="J264" s="27">
        <v>27.122712271227126</v>
      </c>
      <c r="K264" s="27">
        <v>28.07</v>
      </c>
      <c r="L264" s="27">
        <v>29.375875175035006</v>
      </c>
      <c r="M264" s="27">
        <v>31.06932079623887</v>
      </c>
      <c r="N264" s="27">
        <v>32.293229322932298</v>
      </c>
      <c r="O264" s="27">
        <v>33.316663332666536</v>
      </c>
      <c r="P264" s="27">
        <v>34.773477347734783</v>
      </c>
    </row>
    <row r="265" spans="1:16" x14ac:dyDescent="0.25">
      <c r="A265" s="2">
        <v>263</v>
      </c>
      <c r="B265" s="27">
        <f t="shared" si="4"/>
        <v>20.016304891467442</v>
      </c>
      <c r="C265" s="27">
        <v>21.016304891467442</v>
      </c>
      <c r="D265" s="27">
        <v>22.364472894578913</v>
      </c>
      <c r="E265" s="27">
        <v>23.079231692677073</v>
      </c>
      <c r="F265" s="27">
        <v>23.7371211363409</v>
      </c>
      <c r="G265" s="27">
        <v>24.454890978195639</v>
      </c>
      <c r="H265" s="27">
        <v>25.125025005001</v>
      </c>
      <c r="I265" s="27">
        <v>25.742574257425744</v>
      </c>
      <c r="J265" s="27">
        <v>26.972697269726975</v>
      </c>
      <c r="K265" s="27">
        <v>27.92</v>
      </c>
      <c r="L265" s="27">
        <v>29.215843168633725</v>
      </c>
      <c r="M265" s="27">
        <v>30.919275782734818</v>
      </c>
      <c r="N265" s="27">
        <v>32.133213321332143</v>
      </c>
      <c r="O265" s="27">
        <v>33.166633326665327</v>
      </c>
      <c r="P265" s="27">
        <v>34.603460346034609</v>
      </c>
    </row>
    <row r="266" spans="1:16" x14ac:dyDescent="0.25">
      <c r="A266" s="2">
        <v>264</v>
      </c>
      <c r="B266" s="27">
        <f t="shared" si="4"/>
        <v>19.87626287886366</v>
      </c>
      <c r="C266" s="27">
        <v>20.87626287886366</v>
      </c>
      <c r="D266" s="27">
        <v>22.214442888577715</v>
      </c>
      <c r="E266" s="27">
        <v>22.93917567026811</v>
      </c>
      <c r="F266" s="27">
        <v>23.597079123737121</v>
      </c>
      <c r="G266" s="27">
        <v>24.334866973394675</v>
      </c>
      <c r="H266" s="27">
        <v>24.984996999399879</v>
      </c>
      <c r="I266" s="27">
        <v>25.582558255825585</v>
      </c>
      <c r="J266" s="27">
        <v>26.832683268326836</v>
      </c>
      <c r="K266" s="27">
        <v>27.77</v>
      </c>
      <c r="L266" s="27">
        <v>29.075815163032605</v>
      </c>
      <c r="M266" s="27">
        <v>30.76923076923077</v>
      </c>
      <c r="N266" s="27">
        <v>31.973197319731977</v>
      </c>
      <c r="O266" s="27">
        <v>33.016603320664132</v>
      </c>
      <c r="P266" s="27">
        <v>34.453445344534458</v>
      </c>
    </row>
    <row r="267" spans="1:16" x14ac:dyDescent="0.25">
      <c r="A267" s="2">
        <v>265</v>
      </c>
      <c r="B267" s="27">
        <f t="shared" si="4"/>
        <v>19.746223867160147</v>
      </c>
      <c r="C267" s="27">
        <v>20.746223867160147</v>
      </c>
      <c r="D267" s="27">
        <v>22.074414882976594</v>
      </c>
      <c r="E267" s="27">
        <v>22.799119647859147</v>
      </c>
      <c r="F267" s="27">
        <v>23.467040112033608</v>
      </c>
      <c r="G267" s="27">
        <v>24.194838967793558</v>
      </c>
      <c r="H267" s="27">
        <v>24.844968993798759</v>
      </c>
      <c r="I267" s="27">
        <v>25.442544254425446</v>
      </c>
      <c r="J267" s="27">
        <v>26.692669266926696</v>
      </c>
      <c r="K267" s="27">
        <v>27.62</v>
      </c>
      <c r="L267" s="27">
        <v>28.935787157431484</v>
      </c>
      <c r="M267" s="27">
        <v>30.619185755726715</v>
      </c>
      <c r="N267" s="27">
        <v>31.833183318331837</v>
      </c>
      <c r="O267" s="27">
        <v>32.836567313462687</v>
      </c>
      <c r="P267" s="27">
        <v>34.293429342934296</v>
      </c>
    </row>
    <row r="268" spans="1:16" x14ac:dyDescent="0.25">
      <c r="A268" s="2">
        <v>266</v>
      </c>
      <c r="B268" s="27">
        <f t="shared" si="4"/>
        <v>19.606181854556368</v>
      </c>
      <c r="C268" s="27">
        <v>20.606181854556368</v>
      </c>
      <c r="D268" s="27">
        <v>21.954390878175634</v>
      </c>
      <c r="E268" s="27">
        <v>22.669067627050826</v>
      </c>
      <c r="F268" s="27">
        <v>23.347004101230368</v>
      </c>
      <c r="G268" s="27">
        <v>24.054810962192438</v>
      </c>
      <c r="H268" s="27">
        <v>24.704940988197638</v>
      </c>
      <c r="I268" s="27">
        <v>25.292529252925295</v>
      </c>
      <c r="J268" s="27">
        <v>26.542654265426545</v>
      </c>
      <c r="K268" s="27">
        <v>27.47</v>
      </c>
      <c r="L268" s="27">
        <v>28.785757151430285</v>
      </c>
      <c r="M268" s="27">
        <v>30.449134740422124</v>
      </c>
      <c r="N268" s="27">
        <v>31.663166316631667</v>
      </c>
      <c r="O268" s="27">
        <v>32.65653130626125</v>
      </c>
      <c r="P268" s="27">
        <v>34.113411341134118</v>
      </c>
    </row>
    <row r="269" spans="1:16" x14ac:dyDescent="0.25">
      <c r="A269" s="2">
        <v>267</v>
      </c>
      <c r="B269" s="27">
        <f t="shared" si="4"/>
        <v>19.476142842852852</v>
      </c>
      <c r="C269" s="27">
        <v>20.476142842852852</v>
      </c>
      <c r="D269" s="27">
        <v>21.824364872974595</v>
      </c>
      <c r="E269" s="27">
        <v>22.539015606242501</v>
      </c>
      <c r="F269" s="27">
        <v>23.206962088626586</v>
      </c>
      <c r="G269" s="27">
        <v>23.894778955791157</v>
      </c>
      <c r="H269" s="27">
        <v>24.564912982596518</v>
      </c>
      <c r="I269" s="27">
        <v>25.152515251525156</v>
      </c>
      <c r="J269" s="27">
        <v>26.382638263826387</v>
      </c>
      <c r="K269" s="27">
        <v>27.32</v>
      </c>
      <c r="L269" s="27">
        <v>28.625725145029005</v>
      </c>
      <c r="M269" s="27">
        <v>30.289086726017803</v>
      </c>
      <c r="N269" s="27">
        <v>31.493149314931497</v>
      </c>
      <c r="O269" s="27">
        <v>32.506501300260048</v>
      </c>
      <c r="P269" s="27">
        <v>33.943394339433944</v>
      </c>
    </row>
    <row r="270" spans="1:16" x14ac:dyDescent="0.25">
      <c r="A270" s="2">
        <v>268</v>
      </c>
      <c r="B270" s="27">
        <f t="shared" si="4"/>
        <v>19.356106832049615</v>
      </c>
      <c r="C270" s="27">
        <v>20.356106832049615</v>
      </c>
      <c r="D270" s="27">
        <v>21.674334866973396</v>
      </c>
      <c r="E270" s="27">
        <v>22.418967587034818</v>
      </c>
      <c r="F270" s="27">
        <v>23.076923076923077</v>
      </c>
      <c r="G270" s="27">
        <v>23.754750950190036</v>
      </c>
      <c r="H270" s="27">
        <v>24.424884976995401</v>
      </c>
      <c r="I270" s="27">
        <v>25.012501250125016</v>
      </c>
      <c r="J270" s="27">
        <v>26.252625262526255</v>
      </c>
      <c r="K270" s="27">
        <v>27.17</v>
      </c>
      <c r="L270" s="27">
        <v>28.475695139027803</v>
      </c>
      <c r="M270" s="27">
        <v>30.139041712513752</v>
      </c>
      <c r="N270" s="27">
        <v>31.343134313431346</v>
      </c>
      <c r="O270" s="27">
        <v>32.356471294258853</v>
      </c>
      <c r="P270" s="27">
        <v>33.803380338033804</v>
      </c>
    </row>
    <row r="271" spans="1:16" x14ac:dyDescent="0.25">
      <c r="A271" s="2">
        <v>269</v>
      </c>
      <c r="B271" s="27">
        <f t="shared" si="4"/>
        <v>19.236070821246372</v>
      </c>
      <c r="C271" s="27">
        <v>20.236070821246372</v>
      </c>
      <c r="D271" s="27">
        <v>21.534306861372276</v>
      </c>
      <c r="E271" s="27">
        <v>22.308923569427776</v>
      </c>
      <c r="F271" s="27">
        <v>22.946884065219567</v>
      </c>
      <c r="G271" s="27">
        <v>23.624724944988998</v>
      </c>
      <c r="H271" s="27">
        <v>24.28485697139428</v>
      </c>
      <c r="I271" s="27">
        <v>24.882488248824885</v>
      </c>
      <c r="J271" s="27">
        <v>26.122612261226127</v>
      </c>
      <c r="K271" s="27">
        <v>27.02</v>
      </c>
      <c r="L271" s="27">
        <v>28.325665133026604</v>
      </c>
      <c r="M271" s="27">
        <v>29.9889966990097</v>
      </c>
      <c r="N271" s="27">
        <v>31.183118311831187</v>
      </c>
      <c r="O271" s="27">
        <v>32.196439287857565</v>
      </c>
      <c r="P271" s="27">
        <v>33.643364336433649</v>
      </c>
    </row>
    <row r="272" spans="1:16" x14ac:dyDescent="0.25">
      <c r="A272" s="2">
        <v>270</v>
      </c>
      <c r="B272" s="27">
        <f t="shared" si="4"/>
        <v>19.126037811343402</v>
      </c>
      <c r="C272" s="27">
        <v>20.126037811343402</v>
      </c>
      <c r="D272" s="27">
        <v>21.414282856571312</v>
      </c>
      <c r="E272" s="27">
        <v>22.188875550220093</v>
      </c>
      <c r="F272" s="27">
        <v>22.806842052615785</v>
      </c>
      <c r="G272" s="27">
        <v>23.484696939387877</v>
      </c>
      <c r="H272" s="27">
        <v>24.154830966193238</v>
      </c>
      <c r="I272" s="27">
        <v>24.762476247624768</v>
      </c>
      <c r="J272" s="27">
        <v>25.982598259825988</v>
      </c>
      <c r="K272" s="27">
        <v>26.89</v>
      </c>
      <c r="L272" s="27">
        <v>28.165633126625323</v>
      </c>
      <c r="M272" s="27">
        <v>29.828948684605379</v>
      </c>
      <c r="N272" s="27">
        <v>31.023102310231028</v>
      </c>
      <c r="O272" s="27">
        <v>32.04640928185637</v>
      </c>
      <c r="P272" s="27">
        <v>33.493349334933498</v>
      </c>
    </row>
    <row r="273" spans="1:16" x14ac:dyDescent="0.25">
      <c r="A273" s="2">
        <v>271</v>
      </c>
      <c r="B273" s="27">
        <f t="shared" si="4"/>
        <v>19.006001800540162</v>
      </c>
      <c r="C273" s="27">
        <v>20.006001800540162</v>
      </c>
      <c r="D273" s="27">
        <v>21.304260852170433</v>
      </c>
      <c r="E273" s="27">
        <v>22.048819527811126</v>
      </c>
      <c r="F273" s="27">
        <v>22.686806041812542</v>
      </c>
      <c r="G273" s="27">
        <v>23.354670934186839</v>
      </c>
      <c r="H273" s="27">
        <v>24.014802960592117</v>
      </c>
      <c r="I273" s="27">
        <v>24.632463246324633</v>
      </c>
      <c r="J273" s="27">
        <v>25.852585258525856</v>
      </c>
      <c r="K273" s="27">
        <v>26.76</v>
      </c>
      <c r="L273" s="27">
        <v>28.025605121024203</v>
      </c>
      <c r="M273" s="27">
        <v>29.688906672001597</v>
      </c>
      <c r="N273" s="27">
        <v>30.883088308830885</v>
      </c>
      <c r="O273" s="27">
        <v>31.896379275855171</v>
      </c>
      <c r="P273" s="27">
        <v>33.353335333533359</v>
      </c>
    </row>
    <row r="274" spans="1:16" x14ac:dyDescent="0.25">
      <c r="A274" s="2">
        <v>272</v>
      </c>
      <c r="B274" s="27">
        <f t="shared" si="4"/>
        <v>18.885965789736918</v>
      </c>
      <c r="C274" s="27">
        <v>19.885965789736918</v>
      </c>
      <c r="D274" s="27">
        <v>21.174234846969394</v>
      </c>
      <c r="E274" s="27">
        <v>21.898759503801525</v>
      </c>
      <c r="F274" s="27">
        <v>22.566770031009302</v>
      </c>
      <c r="G274" s="27">
        <v>23.224644928985796</v>
      </c>
      <c r="H274" s="27">
        <v>23.884776955391075</v>
      </c>
      <c r="I274" s="27">
        <v>24.492449244924494</v>
      </c>
      <c r="J274" s="27">
        <v>25.702570257025705</v>
      </c>
      <c r="K274" s="27">
        <v>26.61</v>
      </c>
      <c r="L274" s="27">
        <v>27.875575115023004</v>
      </c>
      <c r="M274" s="27">
        <v>29.548864659397818</v>
      </c>
      <c r="N274" s="27">
        <v>30.743074307430746</v>
      </c>
      <c r="O274" s="27">
        <v>31.736347269453891</v>
      </c>
      <c r="P274" s="27">
        <v>33.203320332033208</v>
      </c>
    </row>
    <row r="275" spans="1:16" x14ac:dyDescent="0.25">
      <c r="A275" s="2">
        <v>273</v>
      </c>
      <c r="B275" s="27">
        <f t="shared" si="4"/>
        <v>18.765929778933682</v>
      </c>
      <c r="C275" s="27">
        <v>19.765929778933682</v>
      </c>
      <c r="D275" s="27">
        <v>21.054210842168434</v>
      </c>
      <c r="E275" s="27">
        <v>21.758703481392562</v>
      </c>
      <c r="F275" s="27">
        <v>22.436731019305789</v>
      </c>
      <c r="G275" s="27">
        <v>23.094618923784754</v>
      </c>
      <c r="H275" s="27">
        <v>23.744748949789955</v>
      </c>
      <c r="I275" s="27">
        <v>24.352435243524358</v>
      </c>
      <c r="J275" s="27">
        <v>25.552555255525558</v>
      </c>
      <c r="K275" s="27">
        <v>26.47</v>
      </c>
      <c r="L275" s="27">
        <v>27.745549109821962</v>
      </c>
      <c r="M275" s="27">
        <v>29.398819645893767</v>
      </c>
      <c r="N275" s="27">
        <v>30.593059305930598</v>
      </c>
      <c r="O275" s="27">
        <v>31.586317263452688</v>
      </c>
      <c r="P275" s="27">
        <v>33.043304330433045</v>
      </c>
    </row>
    <row r="276" spans="1:16" x14ac:dyDescent="0.25">
      <c r="A276" s="2">
        <v>274</v>
      </c>
      <c r="B276" s="27">
        <f t="shared" si="4"/>
        <v>18.645893768130438</v>
      </c>
      <c r="C276" s="27">
        <v>19.645893768130438</v>
      </c>
      <c r="D276" s="27">
        <v>20.934186837367474</v>
      </c>
      <c r="E276" s="27">
        <v>21.628651460584237</v>
      </c>
      <c r="F276" s="27">
        <v>22.30669200760228</v>
      </c>
      <c r="G276" s="27">
        <v>22.964592918583715</v>
      </c>
      <c r="H276" s="27">
        <v>23.614722944588916</v>
      </c>
      <c r="I276" s="27">
        <v>24.212421242124215</v>
      </c>
      <c r="J276" s="27">
        <v>25.422542254225426</v>
      </c>
      <c r="K276" s="27">
        <v>26.32</v>
      </c>
      <c r="L276" s="27">
        <v>27.615523104620923</v>
      </c>
      <c r="M276" s="27">
        <v>29.238771631489445</v>
      </c>
      <c r="N276" s="27">
        <v>30.443044304430448</v>
      </c>
      <c r="O276" s="27">
        <v>31.43628725745149</v>
      </c>
      <c r="P276" s="27">
        <v>32.893289328932902</v>
      </c>
    </row>
    <row r="277" spans="1:16" x14ac:dyDescent="0.25">
      <c r="A277" s="2">
        <v>275</v>
      </c>
      <c r="B277" s="27">
        <f t="shared" si="4"/>
        <v>18.535860758227468</v>
      </c>
      <c r="C277" s="27">
        <v>19.535860758227468</v>
      </c>
      <c r="D277" s="27">
        <v>20.804160832166431</v>
      </c>
      <c r="E277" s="27">
        <v>21.518607442977196</v>
      </c>
      <c r="F277" s="27">
        <v>22.166649994998497</v>
      </c>
      <c r="G277" s="27">
        <v>22.824564912982595</v>
      </c>
      <c r="H277" s="27">
        <v>23.474694938987795</v>
      </c>
      <c r="I277" s="27">
        <v>24.072407240724075</v>
      </c>
      <c r="J277" s="27">
        <v>25.292529252925295</v>
      </c>
      <c r="K277" s="27">
        <v>26.17</v>
      </c>
      <c r="L277" s="27">
        <v>27.465493098619724</v>
      </c>
      <c r="M277" s="27">
        <v>29.068720616184851</v>
      </c>
      <c r="N277" s="27">
        <v>30.293029302930297</v>
      </c>
      <c r="O277" s="27">
        <v>31.286257251450291</v>
      </c>
      <c r="P277" s="27">
        <v>32.733273327332732</v>
      </c>
    </row>
    <row r="278" spans="1:16" x14ac:dyDescent="0.25">
      <c r="A278" s="2">
        <v>276</v>
      </c>
      <c r="B278" s="27">
        <f t="shared" si="4"/>
        <v>18.425827748324497</v>
      </c>
      <c r="C278" s="27">
        <v>19.425827748324497</v>
      </c>
      <c r="D278" s="27">
        <v>20.694138827765553</v>
      </c>
      <c r="E278" s="27">
        <v>21.408563425370151</v>
      </c>
      <c r="F278" s="27">
        <v>22.046613984195258</v>
      </c>
      <c r="G278" s="27">
        <v>22.694538907781556</v>
      </c>
      <c r="H278" s="27">
        <v>23.334666933386675</v>
      </c>
      <c r="I278" s="27">
        <v>23.932393239323936</v>
      </c>
      <c r="J278" s="27">
        <v>25.152515251525156</v>
      </c>
      <c r="K278" s="27">
        <v>26.04</v>
      </c>
      <c r="L278" s="27">
        <v>27.315463092618522</v>
      </c>
      <c r="M278" s="27">
        <v>28.90867260178053</v>
      </c>
      <c r="N278" s="27">
        <v>30.153015301530157</v>
      </c>
      <c r="O278" s="27">
        <v>31.136227245449088</v>
      </c>
      <c r="P278" s="27">
        <v>32.583258325832588</v>
      </c>
    </row>
    <row r="279" spans="1:16" x14ac:dyDescent="0.25">
      <c r="A279" s="2">
        <v>277</v>
      </c>
      <c r="B279" s="27">
        <f t="shared" si="4"/>
        <v>18.315794738421523</v>
      </c>
      <c r="C279" s="27">
        <v>19.315794738421523</v>
      </c>
      <c r="D279" s="27">
        <v>20.594118823764752</v>
      </c>
      <c r="E279" s="27">
        <v>21.268507402961191</v>
      </c>
      <c r="F279" s="27">
        <v>21.926577973392018</v>
      </c>
      <c r="G279" s="27">
        <v>22.564512902580514</v>
      </c>
      <c r="H279" s="27">
        <v>23.204640928185636</v>
      </c>
      <c r="I279" s="27">
        <v>23.802380238023808</v>
      </c>
      <c r="J279" s="27">
        <v>25.012501250125016</v>
      </c>
      <c r="K279" s="27">
        <v>25.91</v>
      </c>
      <c r="L279" s="27">
        <v>27.165433086617323</v>
      </c>
      <c r="M279" s="27">
        <v>28.758627588276482</v>
      </c>
      <c r="N279" s="27">
        <v>30.003000300030006</v>
      </c>
      <c r="O279" s="27">
        <v>30.996199239847968</v>
      </c>
      <c r="P279" s="27">
        <v>32.433243324332437</v>
      </c>
    </row>
    <row r="280" spans="1:16" x14ac:dyDescent="0.25">
      <c r="A280" s="2">
        <v>278</v>
      </c>
      <c r="B280" s="27">
        <f t="shared" si="4"/>
        <v>18.195758727618287</v>
      </c>
      <c r="C280" s="27">
        <v>19.195758727618287</v>
      </c>
      <c r="D280" s="27">
        <v>20.50410082016403</v>
      </c>
      <c r="E280" s="27">
        <v>21.128451380552224</v>
      </c>
      <c r="F280" s="27">
        <v>21.816544963489044</v>
      </c>
      <c r="G280" s="27">
        <v>22.434486897379475</v>
      </c>
      <c r="H280" s="27">
        <v>23.074614922984598</v>
      </c>
      <c r="I280" s="27">
        <v>23.662366236623665</v>
      </c>
      <c r="J280" s="27">
        <v>24.872487248724877</v>
      </c>
      <c r="K280" s="27">
        <v>25.77</v>
      </c>
      <c r="L280" s="27">
        <v>27.025405081016203</v>
      </c>
      <c r="M280" s="27">
        <v>28.62858857657297</v>
      </c>
      <c r="N280" s="27">
        <v>29.852985298529859</v>
      </c>
      <c r="O280" s="27">
        <v>30.846169233846769</v>
      </c>
      <c r="P280" s="27">
        <v>32.283228322832286</v>
      </c>
    </row>
    <row r="281" spans="1:16" x14ac:dyDescent="0.25">
      <c r="A281" s="2">
        <v>279</v>
      </c>
      <c r="B281" s="27">
        <f t="shared" si="4"/>
        <v>18.085725717715313</v>
      </c>
      <c r="C281" s="27">
        <v>19.085725717715313</v>
      </c>
      <c r="D281" s="27">
        <v>20.38407681536307</v>
      </c>
      <c r="E281" s="27">
        <v>20.9983993597439</v>
      </c>
      <c r="F281" s="27">
        <v>21.686505951785534</v>
      </c>
      <c r="G281" s="27">
        <v>22.314462892578515</v>
      </c>
      <c r="H281" s="27">
        <v>22.954590918183634</v>
      </c>
      <c r="I281" s="27">
        <v>23.532353235323537</v>
      </c>
      <c r="J281" s="27">
        <v>24.732473247324737</v>
      </c>
      <c r="K281" s="27">
        <v>25.62</v>
      </c>
      <c r="L281" s="27">
        <v>26.875375075015004</v>
      </c>
      <c r="M281" s="27">
        <v>28.498549564869457</v>
      </c>
      <c r="N281" s="27">
        <v>29.71297129712972</v>
      </c>
      <c r="O281" s="27">
        <v>30.69613922784557</v>
      </c>
      <c r="P281" s="27">
        <v>32.143214321432147</v>
      </c>
    </row>
    <row r="282" spans="1:16" x14ac:dyDescent="0.25">
      <c r="A282" s="2">
        <v>280</v>
      </c>
      <c r="B282" s="27">
        <f t="shared" si="4"/>
        <v>17.965689706912073</v>
      </c>
      <c r="C282" s="27">
        <v>18.965689706912073</v>
      </c>
      <c r="D282" s="27">
        <v>20.244048809761949</v>
      </c>
      <c r="E282" s="27">
        <v>20.8983593437375</v>
      </c>
      <c r="F282" s="27">
        <v>21.566469940982291</v>
      </c>
      <c r="G282" s="27">
        <v>22.194438887777554</v>
      </c>
      <c r="H282" s="27">
        <v>22.824564912982595</v>
      </c>
      <c r="I282" s="27">
        <v>23.412341234123417</v>
      </c>
      <c r="J282" s="27">
        <v>24.602460246024606</v>
      </c>
      <c r="K282" s="27">
        <v>25.48</v>
      </c>
      <c r="L282" s="27">
        <v>26.745349069813962</v>
      </c>
      <c r="M282" s="27">
        <v>28.358507552265678</v>
      </c>
      <c r="N282" s="27">
        <v>29.572957295729577</v>
      </c>
      <c r="O282" s="27">
        <v>30.566113222644525</v>
      </c>
      <c r="P282" s="27">
        <v>31.983198319831988</v>
      </c>
    </row>
    <row r="283" spans="1:16" x14ac:dyDescent="0.25">
      <c r="A283" s="2">
        <v>281</v>
      </c>
      <c r="B283" s="27">
        <f t="shared" si="4"/>
        <v>17.855656697009103</v>
      </c>
      <c r="C283" s="27">
        <v>18.855656697009103</v>
      </c>
      <c r="D283" s="27">
        <v>20.104020804160832</v>
      </c>
      <c r="E283" s="27">
        <v>20.788315326130455</v>
      </c>
      <c r="F283" s="27">
        <v>21.426427928378512</v>
      </c>
      <c r="G283" s="27">
        <v>22.064412882576512</v>
      </c>
      <c r="H283" s="27">
        <v>22.694538907781556</v>
      </c>
      <c r="I283" s="27">
        <v>23.282328232823286</v>
      </c>
      <c r="J283" s="27">
        <v>24.472447244724474</v>
      </c>
      <c r="K283" s="27">
        <v>25.33</v>
      </c>
      <c r="L283" s="27">
        <v>26.605321064212841</v>
      </c>
      <c r="M283" s="27">
        <v>28.228468540562165</v>
      </c>
      <c r="N283" s="27">
        <v>29.432943294329437</v>
      </c>
      <c r="O283" s="27">
        <v>30.426085217043408</v>
      </c>
      <c r="P283" s="27">
        <v>31.833183318331837</v>
      </c>
    </row>
    <row r="284" spans="1:16" x14ac:dyDescent="0.25">
      <c r="A284" s="2">
        <v>282</v>
      </c>
      <c r="B284" s="27">
        <f t="shared" si="4"/>
        <v>17.745623687106129</v>
      </c>
      <c r="C284" s="27">
        <v>18.745623687106129</v>
      </c>
      <c r="D284" s="27">
        <v>20.004000800160032</v>
      </c>
      <c r="E284" s="27">
        <v>20.65826330532213</v>
      </c>
      <c r="F284" s="27">
        <v>21.296388916674999</v>
      </c>
      <c r="G284" s="27">
        <v>21.934386877375474</v>
      </c>
      <c r="H284" s="27">
        <v>22.574514902980596</v>
      </c>
      <c r="I284" s="27">
        <v>23.152315231523154</v>
      </c>
      <c r="J284" s="27">
        <v>24.332433243324335</v>
      </c>
      <c r="K284" s="27">
        <v>25.19</v>
      </c>
      <c r="L284" s="27">
        <v>26.465293058611721</v>
      </c>
      <c r="M284" s="27">
        <v>28.088426527958383</v>
      </c>
      <c r="N284" s="27">
        <v>29.28292829282929</v>
      </c>
      <c r="O284" s="27">
        <v>30.276055211042205</v>
      </c>
      <c r="P284" s="27">
        <v>31.683168316831686</v>
      </c>
    </row>
    <row r="285" spans="1:16" x14ac:dyDescent="0.25">
      <c r="A285" s="2">
        <v>283</v>
      </c>
      <c r="B285" s="27">
        <f t="shared" si="4"/>
        <v>17.635590677203158</v>
      </c>
      <c r="C285" s="27">
        <v>18.635590677203158</v>
      </c>
      <c r="D285" s="27">
        <v>19.903980796159228</v>
      </c>
      <c r="E285" s="27">
        <v>20.528211284513809</v>
      </c>
      <c r="F285" s="27">
        <v>21.16634990497149</v>
      </c>
      <c r="G285" s="27">
        <v>21.824364872974595</v>
      </c>
      <c r="H285" s="27">
        <v>22.444488897779557</v>
      </c>
      <c r="I285" s="27">
        <v>23.012301230123018</v>
      </c>
      <c r="J285" s="27">
        <v>24.182418241824184</v>
      </c>
      <c r="K285" s="27">
        <v>25.07</v>
      </c>
      <c r="L285" s="27">
        <v>26.3252650530106</v>
      </c>
      <c r="M285" s="27">
        <v>27.938381514454335</v>
      </c>
      <c r="N285" s="27">
        <v>29.122912291229127</v>
      </c>
      <c r="O285" s="27">
        <v>30.126025205041007</v>
      </c>
      <c r="P285" s="27">
        <v>31.533153315331539</v>
      </c>
    </row>
    <row r="286" spans="1:16" x14ac:dyDescent="0.25">
      <c r="A286" s="2">
        <v>284</v>
      </c>
      <c r="B286" s="27">
        <f t="shared" si="4"/>
        <v>17.535560668200461</v>
      </c>
      <c r="C286" s="27">
        <v>18.535560668200461</v>
      </c>
      <c r="D286" s="27">
        <v>19.803960792158431</v>
      </c>
      <c r="E286" s="27">
        <v>20.408163265306126</v>
      </c>
      <c r="F286" s="27">
        <v>21.046313894168247</v>
      </c>
      <c r="G286" s="27">
        <v>21.704340868173635</v>
      </c>
      <c r="H286" s="27">
        <v>22.304460892178437</v>
      </c>
      <c r="I286" s="27">
        <v>22.872287228722875</v>
      </c>
      <c r="J286" s="27">
        <v>24.052405240524056</v>
      </c>
      <c r="K286" s="27">
        <v>24.94</v>
      </c>
      <c r="L286" s="27">
        <v>26.18523704740948</v>
      </c>
      <c r="M286" s="27">
        <v>27.788336500950283</v>
      </c>
      <c r="N286" s="27">
        <v>28.982898289828988</v>
      </c>
      <c r="O286" s="27">
        <v>29.975995199039804</v>
      </c>
      <c r="P286" s="27">
        <v>31.37313731373138</v>
      </c>
    </row>
    <row r="287" spans="1:16" x14ac:dyDescent="0.25">
      <c r="A287" s="2">
        <v>285</v>
      </c>
      <c r="B287" s="27">
        <f t="shared" si="4"/>
        <v>17.42552765829749</v>
      </c>
      <c r="C287" s="27">
        <v>18.42552765829749</v>
      </c>
      <c r="D287" s="27">
        <v>19.693938787757553</v>
      </c>
      <c r="E287" s="27">
        <v>20.298119247699081</v>
      </c>
      <c r="F287" s="27">
        <v>20.92627788336501</v>
      </c>
      <c r="G287" s="27">
        <v>21.574314862972592</v>
      </c>
      <c r="H287" s="27">
        <v>22.174434886977398</v>
      </c>
      <c r="I287" s="27">
        <v>22.732273227322736</v>
      </c>
      <c r="J287" s="27">
        <v>23.922392239223928</v>
      </c>
      <c r="K287" s="27">
        <v>24.81</v>
      </c>
      <c r="L287" s="27">
        <v>26.055211042208441</v>
      </c>
      <c r="M287" s="27">
        <v>27.648294488346504</v>
      </c>
      <c r="N287" s="27">
        <v>28.842884288428845</v>
      </c>
      <c r="O287" s="27">
        <v>29.815963192638524</v>
      </c>
      <c r="P287" s="27">
        <v>31.223122312231226</v>
      </c>
    </row>
    <row r="288" spans="1:16" x14ac:dyDescent="0.25">
      <c r="A288" s="2">
        <v>286</v>
      </c>
      <c r="B288" s="27">
        <f t="shared" si="4"/>
        <v>17.325497649294789</v>
      </c>
      <c r="C288" s="27">
        <v>18.325497649294789</v>
      </c>
      <c r="D288" s="27">
        <v>19.583916783356671</v>
      </c>
      <c r="E288" s="27">
        <v>20.188075230092039</v>
      </c>
      <c r="F288" s="27">
        <v>20.806241872561767</v>
      </c>
      <c r="G288" s="27">
        <v>21.464292858571714</v>
      </c>
      <c r="H288" s="27">
        <v>22.064412882576512</v>
      </c>
      <c r="I288" s="27">
        <v>22.602260226022608</v>
      </c>
      <c r="J288" s="27">
        <v>23.792379237923797</v>
      </c>
      <c r="K288" s="27">
        <v>24.68</v>
      </c>
      <c r="L288" s="27">
        <v>25.925185037007402</v>
      </c>
      <c r="M288" s="27">
        <v>27.498249474842449</v>
      </c>
      <c r="N288" s="27">
        <v>28.702870287028706</v>
      </c>
      <c r="O288" s="27">
        <v>29.665933186637325</v>
      </c>
      <c r="P288" s="27">
        <v>31.093109310931098</v>
      </c>
    </row>
    <row r="289" spans="1:16" x14ac:dyDescent="0.25">
      <c r="A289" s="2">
        <v>287</v>
      </c>
      <c r="B289" s="27">
        <f t="shared" si="4"/>
        <v>17.215464639391818</v>
      </c>
      <c r="C289" s="27">
        <v>18.215464639391818</v>
      </c>
      <c r="D289" s="27">
        <v>19.473894778955788</v>
      </c>
      <c r="E289" s="27">
        <v>20.078031212484998</v>
      </c>
      <c r="F289" s="27">
        <v>20.696208862658796</v>
      </c>
      <c r="G289" s="27">
        <v>21.344268853770753</v>
      </c>
      <c r="H289" s="27">
        <v>21.944388877775555</v>
      </c>
      <c r="I289" s="27">
        <v>22.482248224822484</v>
      </c>
      <c r="J289" s="27">
        <v>23.662366236623665</v>
      </c>
      <c r="K289" s="27">
        <v>24.55</v>
      </c>
      <c r="L289" s="27">
        <v>25.805161032206442</v>
      </c>
      <c r="M289" s="27">
        <v>27.358207462238671</v>
      </c>
      <c r="N289" s="27">
        <v>28.562856285628566</v>
      </c>
      <c r="O289" s="27">
        <v>29.535907181436286</v>
      </c>
      <c r="P289" s="27">
        <v>30.96309630963097</v>
      </c>
    </row>
    <row r="290" spans="1:16" x14ac:dyDescent="0.25">
      <c r="A290" s="2">
        <v>288</v>
      </c>
      <c r="B290" s="27">
        <f t="shared" si="4"/>
        <v>17.095428628588575</v>
      </c>
      <c r="C290" s="27">
        <v>18.095428628588575</v>
      </c>
      <c r="D290" s="27">
        <v>19.353870774154831</v>
      </c>
      <c r="E290" s="27">
        <v>19.967987194877956</v>
      </c>
      <c r="F290" s="27">
        <v>20.586175852755822</v>
      </c>
      <c r="G290" s="27">
        <v>21.204240848169633</v>
      </c>
      <c r="H290" s="27">
        <v>21.824364872974595</v>
      </c>
      <c r="I290" s="27">
        <v>22.362236223622364</v>
      </c>
      <c r="J290" s="27">
        <v>23.532353235323537</v>
      </c>
      <c r="K290" s="27">
        <v>24.41</v>
      </c>
      <c r="L290" s="27">
        <v>25.65513102620524</v>
      </c>
      <c r="M290" s="27">
        <v>27.238171451435431</v>
      </c>
      <c r="N290" s="27">
        <v>28.422842284228427</v>
      </c>
      <c r="O290" s="27">
        <v>29.375875175035006</v>
      </c>
      <c r="P290" s="27">
        <v>30.833083308330835</v>
      </c>
    </row>
    <row r="291" spans="1:16" x14ac:dyDescent="0.25">
      <c r="A291" s="2">
        <v>289</v>
      </c>
      <c r="B291" s="27">
        <f t="shared" si="4"/>
        <v>16.985395618685605</v>
      </c>
      <c r="C291" s="27">
        <v>17.985395618685605</v>
      </c>
      <c r="D291" s="27">
        <v>19.233846769353871</v>
      </c>
      <c r="E291" s="27">
        <v>19.84793917567027</v>
      </c>
      <c r="F291" s="27">
        <v>20.466139841952586</v>
      </c>
      <c r="G291" s="27">
        <v>21.064212842568512</v>
      </c>
      <c r="H291" s="27">
        <v>21.704340868173635</v>
      </c>
      <c r="I291" s="27">
        <v>22.232223222322236</v>
      </c>
      <c r="J291" s="27">
        <v>23.412341234123417</v>
      </c>
      <c r="K291" s="27">
        <v>24.28</v>
      </c>
      <c r="L291" s="27">
        <v>25.495099019803959</v>
      </c>
      <c r="M291" s="27">
        <v>27.098129438831648</v>
      </c>
      <c r="N291" s="27">
        <v>28.272827282728276</v>
      </c>
      <c r="O291" s="27">
        <v>29.225845169033803</v>
      </c>
      <c r="P291" s="27">
        <v>30.683068306830688</v>
      </c>
    </row>
    <row r="292" spans="1:16" x14ac:dyDescent="0.25">
      <c r="A292" s="2">
        <v>290</v>
      </c>
      <c r="B292" s="27">
        <f t="shared" si="4"/>
        <v>16.865359607882365</v>
      </c>
      <c r="C292" s="27">
        <v>17.865359607882365</v>
      </c>
      <c r="D292" s="27">
        <v>19.113822764552911</v>
      </c>
      <c r="E292" s="27">
        <v>19.727891156462587</v>
      </c>
      <c r="F292" s="27">
        <v>20.346103831149343</v>
      </c>
      <c r="G292" s="27">
        <v>20.954190838167634</v>
      </c>
      <c r="H292" s="27">
        <v>21.574314862972592</v>
      </c>
      <c r="I292" s="27">
        <v>22.112211221122116</v>
      </c>
      <c r="J292" s="27">
        <v>23.272327232723274</v>
      </c>
      <c r="K292" s="27">
        <v>24.15</v>
      </c>
      <c r="L292" s="27">
        <v>25.36507301460292</v>
      </c>
      <c r="M292" s="27">
        <v>26.958087426227866</v>
      </c>
      <c r="N292" s="27">
        <v>28.122812281228128</v>
      </c>
      <c r="O292" s="27">
        <v>29.095819163832765</v>
      </c>
      <c r="P292" s="27">
        <v>30.53305330533054</v>
      </c>
    </row>
    <row r="293" spans="1:16" x14ac:dyDescent="0.25">
      <c r="A293" s="2">
        <v>291</v>
      </c>
      <c r="B293" s="27">
        <f t="shared" si="4"/>
        <v>16.745323597079121</v>
      </c>
      <c r="C293" s="27">
        <v>17.745323597079121</v>
      </c>
      <c r="D293" s="27">
        <v>19.01380276055211</v>
      </c>
      <c r="E293" s="27">
        <v>19.617847138855545</v>
      </c>
      <c r="F293" s="27">
        <v>20.226067820346103</v>
      </c>
      <c r="G293" s="27">
        <v>20.844168833766751</v>
      </c>
      <c r="H293" s="27">
        <v>21.444288857771554</v>
      </c>
      <c r="I293" s="27">
        <v>22.002200220022004</v>
      </c>
      <c r="J293" s="27">
        <v>23.152315231523154</v>
      </c>
      <c r="K293" s="27">
        <v>24.01</v>
      </c>
      <c r="L293" s="27">
        <v>25.235047009401878</v>
      </c>
      <c r="M293" s="27">
        <v>26.808042412723815</v>
      </c>
      <c r="N293" s="27">
        <v>27.982798279827986</v>
      </c>
      <c r="O293" s="27">
        <v>28.975795159031804</v>
      </c>
      <c r="P293" s="27">
        <v>30.413041304130417</v>
      </c>
    </row>
    <row r="294" spans="1:16" x14ac:dyDescent="0.25">
      <c r="A294" s="2">
        <v>292</v>
      </c>
      <c r="B294" s="27">
        <f t="shared" si="4"/>
        <v>16.635290587176151</v>
      </c>
      <c r="C294" s="27">
        <v>17.635290587176151</v>
      </c>
      <c r="D294" s="27">
        <v>18.91378275655131</v>
      </c>
      <c r="E294" s="27">
        <v>19.507803121248504</v>
      </c>
      <c r="F294" s="27">
        <v>20.126037811343402</v>
      </c>
      <c r="G294" s="27">
        <v>20.744148829765951</v>
      </c>
      <c r="H294" s="27">
        <v>21.314262852570511</v>
      </c>
      <c r="I294" s="27">
        <v>21.882188218821884</v>
      </c>
      <c r="J294" s="27">
        <v>23.042304230423046</v>
      </c>
      <c r="K294" s="27">
        <v>23.87</v>
      </c>
      <c r="L294" s="27">
        <v>25.105021004200839</v>
      </c>
      <c r="M294" s="27">
        <v>26.678003401020305</v>
      </c>
      <c r="N294" s="27">
        <v>27.852785278527858</v>
      </c>
      <c r="O294" s="27">
        <v>28.845769153830766</v>
      </c>
      <c r="P294" s="27">
        <v>30.283028302830289</v>
      </c>
    </row>
    <row r="295" spans="1:16" x14ac:dyDescent="0.25">
      <c r="A295" s="2">
        <v>293</v>
      </c>
      <c r="B295" s="27">
        <f t="shared" si="4"/>
        <v>16.52525757727318</v>
      </c>
      <c r="C295" s="27">
        <v>17.52525757727318</v>
      </c>
      <c r="D295" s="27">
        <v>18.793758751750349</v>
      </c>
      <c r="E295" s="27">
        <v>19.387755102040817</v>
      </c>
      <c r="F295" s="27">
        <v>20.016004801440431</v>
      </c>
      <c r="G295" s="27">
        <v>20.634126825365072</v>
      </c>
      <c r="H295" s="27">
        <v>21.194238847769554</v>
      </c>
      <c r="I295" s="27">
        <v>21.762176217621768</v>
      </c>
      <c r="J295" s="27">
        <v>22.922292229222926</v>
      </c>
      <c r="K295" s="27">
        <v>23.74</v>
      </c>
      <c r="L295" s="27">
        <v>24.974994998999797</v>
      </c>
      <c r="M295" s="27">
        <v>26.537961388416523</v>
      </c>
      <c r="N295" s="27">
        <v>27.722772277227726</v>
      </c>
      <c r="O295" s="27">
        <v>28.695739147829567</v>
      </c>
      <c r="P295" s="27">
        <v>30.133013301330138</v>
      </c>
    </row>
    <row r="296" spans="1:16" x14ac:dyDescent="0.25">
      <c r="A296" s="2">
        <v>294</v>
      </c>
      <c r="B296" s="27">
        <f t="shared" si="4"/>
        <v>16.425227568270483</v>
      </c>
      <c r="C296" s="27">
        <v>17.425227568270483</v>
      </c>
      <c r="D296" s="27">
        <v>18.673734746949389</v>
      </c>
      <c r="E296" s="27">
        <v>19.287715086034417</v>
      </c>
      <c r="F296" s="27">
        <v>19.895968790637191</v>
      </c>
      <c r="G296" s="27">
        <v>20.534106821364272</v>
      </c>
      <c r="H296" s="27">
        <v>21.084216843368672</v>
      </c>
      <c r="I296" s="27">
        <v>21.642164216421644</v>
      </c>
      <c r="J296" s="27">
        <v>22.802280228022806</v>
      </c>
      <c r="K296" s="27">
        <v>23.62</v>
      </c>
      <c r="L296" s="27">
        <v>24.844968993798759</v>
      </c>
      <c r="M296" s="27">
        <v>26.40792237671301</v>
      </c>
      <c r="N296" s="27">
        <v>27.592759275927598</v>
      </c>
      <c r="O296" s="27">
        <v>28.555711142228446</v>
      </c>
      <c r="P296" s="27">
        <v>29.972997299729975</v>
      </c>
    </row>
    <row r="297" spans="1:16" x14ac:dyDescent="0.25">
      <c r="A297" s="2">
        <v>295</v>
      </c>
      <c r="B297" s="27">
        <f t="shared" si="4"/>
        <v>16.325197559267778</v>
      </c>
      <c r="C297" s="27">
        <v>17.325197559267778</v>
      </c>
      <c r="D297" s="27">
        <v>18.563712742548507</v>
      </c>
      <c r="E297" s="27">
        <v>19.187675070028014</v>
      </c>
      <c r="F297" s="27">
        <v>19.775932779833948</v>
      </c>
      <c r="G297" s="27">
        <v>20.40408081616323</v>
      </c>
      <c r="H297" s="27">
        <v>20.964192838567712</v>
      </c>
      <c r="I297" s="27">
        <v>21.532153215321536</v>
      </c>
      <c r="J297" s="27">
        <v>22.682268226822686</v>
      </c>
      <c r="K297" s="27">
        <v>23.5</v>
      </c>
      <c r="L297" s="27">
        <v>24.724944988997798</v>
      </c>
      <c r="M297" s="27">
        <v>26.277883365009501</v>
      </c>
      <c r="N297" s="27">
        <v>27.462746274627467</v>
      </c>
      <c r="O297" s="27">
        <v>28.425685137027404</v>
      </c>
      <c r="P297" s="27">
        <v>29.822982298229828</v>
      </c>
    </row>
    <row r="298" spans="1:16" x14ac:dyDescent="0.25">
      <c r="A298" s="2">
        <v>296</v>
      </c>
      <c r="B298" s="27">
        <f t="shared" si="4"/>
        <v>16.225167550265077</v>
      </c>
      <c r="C298" s="27">
        <v>17.225167550265077</v>
      </c>
      <c r="D298" s="27">
        <v>18.473694738947788</v>
      </c>
      <c r="E298" s="27">
        <v>19.077631052420973</v>
      </c>
      <c r="F298" s="27">
        <v>19.665899769930977</v>
      </c>
      <c r="G298" s="27">
        <v>20.274054810962191</v>
      </c>
      <c r="H298" s="27">
        <v>20.844168833766751</v>
      </c>
      <c r="I298" s="27">
        <v>21.402140214021404</v>
      </c>
      <c r="J298" s="27">
        <v>22.542254225422546</v>
      </c>
      <c r="K298" s="27">
        <v>23.39</v>
      </c>
      <c r="L298" s="27">
        <v>24.594918983796759</v>
      </c>
      <c r="M298" s="27">
        <v>26.157847354206258</v>
      </c>
      <c r="N298" s="27">
        <v>27.312731273127316</v>
      </c>
      <c r="O298" s="27">
        <v>28.295659131826362</v>
      </c>
      <c r="P298" s="27">
        <v>29.682968296829685</v>
      </c>
    </row>
    <row r="299" spans="1:16" x14ac:dyDescent="0.25">
      <c r="A299" s="2">
        <v>297</v>
      </c>
      <c r="B299" s="27">
        <f t="shared" si="4"/>
        <v>16.135140542162645</v>
      </c>
      <c r="C299" s="27">
        <v>17.135140542162645</v>
      </c>
      <c r="D299" s="27">
        <v>18.383676735347066</v>
      </c>
      <c r="E299" s="27">
        <v>18.967587034813928</v>
      </c>
      <c r="F299" s="27">
        <v>19.565869760928276</v>
      </c>
      <c r="G299" s="27">
        <v>20.154030806161231</v>
      </c>
      <c r="H299" s="27">
        <v>20.724144828965791</v>
      </c>
      <c r="I299" s="27">
        <v>21.272127212721276</v>
      </c>
      <c r="J299" s="27">
        <v>22.412241224122415</v>
      </c>
      <c r="K299" s="27">
        <v>23.26</v>
      </c>
      <c r="L299" s="27">
        <v>24.454890978195639</v>
      </c>
      <c r="M299" s="27">
        <v>26.027808342502748</v>
      </c>
      <c r="N299" s="27">
        <v>27.17271727172718</v>
      </c>
      <c r="O299" s="27">
        <v>28.165633126625323</v>
      </c>
      <c r="P299" s="27">
        <v>29.542954295429546</v>
      </c>
    </row>
    <row r="300" spans="1:16" x14ac:dyDescent="0.25">
      <c r="A300" s="2">
        <v>298</v>
      </c>
      <c r="B300" s="27">
        <f t="shared" si="4"/>
        <v>16.035110533159948</v>
      </c>
      <c r="C300" s="27">
        <v>17.035110533159948</v>
      </c>
      <c r="D300" s="27">
        <v>18.283656731346269</v>
      </c>
      <c r="E300" s="27">
        <v>18.847539015606245</v>
      </c>
      <c r="F300" s="27">
        <v>19.455836751025306</v>
      </c>
      <c r="G300" s="27">
        <v>20.044008801760349</v>
      </c>
      <c r="H300" s="27">
        <v>20.604120824164834</v>
      </c>
      <c r="I300" s="27">
        <v>21.162116211621164</v>
      </c>
      <c r="J300" s="27">
        <v>22.292229222922295</v>
      </c>
      <c r="K300" s="27">
        <v>23.12</v>
      </c>
      <c r="L300" s="27">
        <v>24.314862972594515</v>
      </c>
      <c r="M300" s="27">
        <v>25.897769330799239</v>
      </c>
      <c r="N300" s="27">
        <v>27.042704270427045</v>
      </c>
      <c r="O300" s="27">
        <v>28.025605121024203</v>
      </c>
      <c r="P300" s="27">
        <v>29.412941294129418</v>
      </c>
    </row>
    <row r="301" spans="1:16" x14ac:dyDescent="0.25">
      <c r="A301" s="2">
        <v>299</v>
      </c>
      <c r="B301" s="27">
        <f t="shared" si="4"/>
        <v>15.945083525057516</v>
      </c>
      <c r="C301" s="27">
        <v>16.945083525057516</v>
      </c>
      <c r="D301" s="27">
        <v>18.163632726545309</v>
      </c>
      <c r="E301" s="27">
        <v>18.737494997999203</v>
      </c>
      <c r="F301" s="27">
        <v>19.335800740222062</v>
      </c>
      <c r="G301" s="27">
        <v>19.923984796959392</v>
      </c>
      <c r="H301" s="27">
        <v>20.484096819363874</v>
      </c>
      <c r="I301" s="27">
        <v>21.042104210421044</v>
      </c>
      <c r="J301" s="27">
        <v>22.162216221622167</v>
      </c>
      <c r="K301" s="27">
        <v>22.99</v>
      </c>
      <c r="L301" s="27">
        <v>24.194838967793558</v>
      </c>
      <c r="M301" s="27">
        <v>25.757727318195457</v>
      </c>
      <c r="N301" s="27">
        <v>26.922692269226928</v>
      </c>
      <c r="O301" s="27">
        <v>27.875575115023004</v>
      </c>
      <c r="P301" s="27">
        <v>29.28292829282929</v>
      </c>
    </row>
    <row r="302" spans="1:16" x14ac:dyDescent="0.25">
      <c r="A302" s="2">
        <v>300</v>
      </c>
      <c r="B302" s="27">
        <f t="shared" si="4"/>
        <v>15.845053516054815</v>
      </c>
      <c r="C302" s="27">
        <v>16.845053516054815</v>
      </c>
      <c r="D302" s="27">
        <v>18.063612722544505</v>
      </c>
      <c r="E302" s="27">
        <v>18.6374549819928</v>
      </c>
      <c r="F302" s="27">
        <v>19.235770731219365</v>
      </c>
      <c r="G302" s="27">
        <v>19.793958791758349</v>
      </c>
      <c r="H302" s="27">
        <v>20.374074814962992</v>
      </c>
      <c r="I302" s="27">
        <v>20.922092209220928</v>
      </c>
      <c r="J302" s="27">
        <v>22.042204220422043</v>
      </c>
      <c r="K302" s="27">
        <v>22.88</v>
      </c>
      <c r="L302" s="27">
        <v>24.064812962592516</v>
      </c>
      <c r="M302" s="27">
        <v>25.617685305591674</v>
      </c>
      <c r="N302" s="27">
        <v>26.782678267826789</v>
      </c>
      <c r="O302" s="27">
        <v>27.735547109421884</v>
      </c>
      <c r="P302" s="27">
        <v>29.152915291529155</v>
      </c>
    </row>
    <row r="303" spans="1:16" x14ac:dyDescent="0.25">
      <c r="A303" s="2">
        <v>301</v>
      </c>
      <c r="B303" s="27">
        <f t="shared" si="4"/>
        <v>15.745023507052114</v>
      </c>
      <c r="C303" s="27">
        <v>16.745023507052114</v>
      </c>
      <c r="D303" s="27">
        <v>17.953590718143627</v>
      </c>
      <c r="E303" s="27">
        <v>18.5374149659864</v>
      </c>
      <c r="F303" s="27">
        <v>19.125737721316394</v>
      </c>
      <c r="G303" s="27">
        <v>19.683936787357471</v>
      </c>
      <c r="H303" s="27">
        <v>20.254050810162031</v>
      </c>
      <c r="I303" s="27">
        <v>20.812081208120812</v>
      </c>
      <c r="J303" s="27">
        <v>21.922192219221927</v>
      </c>
      <c r="K303" s="27">
        <v>22.77</v>
      </c>
      <c r="L303" s="27">
        <v>23.934786957391477</v>
      </c>
      <c r="M303" s="27">
        <v>25.487646293888165</v>
      </c>
      <c r="N303" s="27">
        <v>26.652665266526654</v>
      </c>
      <c r="O303" s="27">
        <v>27.595519103820763</v>
      </c>
      <c r="P303" s="27">
        <v>29.022902290229027</v>
      </c>
    </row>
    <row r="304" spans="1:16" x14ac:dyDescent="0.25">
      <c r="A304" s="2">
        <v>302</v>
      </c>
      <c r="B304" s="27">
        <f t="shared" si="4"/>
        <v>15.644993498049413</v>
      </c>
      <c r="C304" s="27">
        <v>16.644993498049413</v>
      </c>
      <c r="D304" s="27">
        <v>17.843568713742748</v>
      </c>
      <c r="E304" s="27">
        <v>18.417366946778714</v>
      </c>
      <c r="F304" s="27">
        <v>19.025707712313693</v>
      </c>
      <c r="G304" s="27">
        <v>19.573914782956592</v>
      </c>
      <c r="H304" s="27">
        <v>20.144028805761153</v>
      </c>
      <c r="I304" s="27">
        <v>20.702070207020704</v>
      </c>
      <c r="J304" s="27">
        <v>21.812181218121815</v>
      </c>
      <c r="K304" s="27">
        <v>22.65</v>
      </c>
      <c r="L304" s="27">
        <v>23.804760952190438</v>
      </c>
      <c r="M304" s="27">
        <v>25.367610283084922</v>
      </c>
      <c r="N304" s="27">
        <v>26.532653265326537</v>
      </c>
      <c r="O304" s="27">
        <v>27.465493098619724</v>
      </c>
      <c r="P304" s="27">
        <v>28.892889288928899</v>
      </c>
    </row>
    <row r="305" spans="1:16" x14ac:dyDescent="0.25">
      <c r="A305" s="2">
        <v>303</v>
      </c>
      <c r="B305" s="27">
        <f t="shared" si="4"/>
        <v>15.534960488146442</v>
      </c>
      <c r="C305" s="27">
        <v>16.534960488146442</v>
      </c>
      <c r="D305" s="27">
        <v>17.733546709341869</v>
      </c>
      <c r="E305" s="27">
        <v>18.307322929171672</v>
      </c>
      <c r="F305" s="27">
        <v>18.915674702410723</v>
      </c>
      <c r="G305" s="27">
        <v>19.473894778955788</v>
      </c>
      <c r="H305" s="27">
        <v>20.024004800960192</v>
      </c>
      <c r="I305" s="27">
        <v>20.592059205920595</v>
      </c>
      <c r="J305" s="27">
        <v>21.692169216921698</v>
      </c>
      <c r="K305" s="27">
        <v>22.53</v>
      </c>
      <c r="L305" s="27">
        <v>23.684736947389478</v>
      </c>
      <c r="M305" s="27">
        <v>25.247574272281682</v>
      </c>
      <c r="N305" s="27">
        <v>26.412641264126417</v>
      </c>
      <c r="O305" s="27">
        <v>27.335467093418682</v>
      </c>
      <c r="P305" s="27">
        <v>28.752875287528756</v>
      </c>
    </row>
    <row r="306" spans="1:16" x14ac:dyDescent="0.25">
      <c r="A306" s="2">
        <v>304</v>
      </c>
      <c r="B306" s="27">
        <f t="shared" si="4"/>
        <v>15.424927478243475</v>
      </c>
      <c r="C306" s="27">
        <v>16.424927478243475</v>
      </c>
      <c r="D306" s="27">
        <v>17.643528705741147</v>
      </c>
      <c r="E306" s="27">
        <v>18.217286914765911</v>
      </c>
      <c r="F306" s="27">
        <v>18.805641692507752</v>
      </c>
      <c r="G306" s="27">
        <v>19.373874774954992</v>
      </c>
      <c r="H306" s="27">
        <v>19.91398279655931</v>
      </c>
      <c r="I306" s="27">
        <v>20.472047204720475</v>
      </c>
      <c r="J306" s="27">
        <v>21.572157215721575</v>
      </c>
      <c r="K306" s="27">
        <v>22.4</v>
      </c>
      <c r="L306" s="27">
        <v>23.574714942988596</v>
      </c>
      <c r="M306" s="27">
        <v>25.117535260578173</v>
      </c>
      <c r="N306" s="27">
        <v>26.282628262826286</v>
      </c>
      <c r="O306" s="27">
        <v>27.215443088617722</v>
      </c>
      <c r="P306" s="27">
        <v>28.612861286128616</v>
      </c>
    </row>
    <row r="307" spans="1:16" x14ac:dyDescent="0.25">
      <c r="A307" s="2">
        <v>305</v>
      </c>
      <c r="B307" s="27">
        <f t="shared" si="4"/>
        <v>15.314894468340501</v>
      </c>
      <c r="C307" s="27">
        <v>16.314894468340501</v>
      </c>
      <c r="D307" s="27">
        <v>17.543508701740347</v>
      </c>
      <c r="E307" s="27">
        <v>18.117246898759507</v>
      </c>
      <c r="F307" s="27">
        <v>18.695608682604782</v>
      </c>
      <c r="G307" s="27">
        <v>19.263852770554113</v>
      </c>
      <c r="H307" s="27">
        <v>19.81396279255851</v>
      </c>
      <c r="I307" s="27">
        <v>20.362036203620363</v>
      </c>
      <c r="J307" s="27">
        <v>21.452145214521455</v>
      </c>
      <c r="K307" s="27">
        <v>22.29</v>
      </c>
      <c r="L307" s="27">
        <v>23.444688937787557</v>
      </c>
      <c r="M307" s="27">
        <v>24.98749624887466</v>
      </c>
      <c r="N307" s="27">
        <v>26.142614261426147</v>
      </c>
      <c r="O307" s="27">
        <v>27.085417083416679</v>
      </c>
      <c r="P307" s="27">
        <v>28.482848284828489</v>
      </c>
    </row>
    <row r="308" spans="1:16" x14ac:dyDescent="0.25">
      <c r="A308" s="2">
        <v>306</v>
      </c>
      <c r="B308" s="27">
        <f t="shared" si="4"/>
        <v>15.2148644593378</v>
      </c>
      <c r="C308" s="27">
        <v>16.2148644593378</v>
      </c>
      <c r="D308" s="27">
        <v>17.44348869773955</v>
      </c>
      <c r="E308" s="27">
        <v>18.017206882753104</v>
      </c>
      <c r="F308" s="27">
        <v>18.585575672701808</v>
      </c>
      <c r="G308" s="27">
        <v>19.153830766153227</v>
      </c>
      <c r="H308" s="27">
        <v>19.703940788157631</v>
      </c>
      <c r="I308" s="27">
        <v>20.242024202420243</v>
      </c>
      <c r="J308" s="27">
        <v>21.352135213521358</v>
      </c>
      <c r="K308" s="27">
        <v>22.17</v>
      </c>
      <c r="L308" s="27">
        <v>23.314662932586515</v>
      </c>
      <c r="M308" s="27">
        <v>24.85745723717115</v>
      </c>
      <c r="N308" s="27">
        <v>26.002600260026007</v>
      </c>
      <c r="O308" s="27">
        <v>26.965393078615723</v>
      </c>
      <c r="P308" s="27">
        <v>28.342834283428346</v>
      </c>
    </row>
    <row r="309" spans="1:16" x14ac:dyDescent="0.25">
      <c r="A309" s="2">
        <v>307</v>
      </c>
      <c r="B309" s="27">
        <f t="shared" si="4"/>
        <v>15.114834450335099</v>
      </c>
      <c r="C309" s="27">
        <v>16.114834450335099</v>
      </c>
      <c r="D309" s="27">
        <v>17.343468693738746</v>
      </c>
      <c r="E309" s="27">
        <v>17.917166866746701</v>
      </c>
      <c r="F309" s="27">
        <v>18.48554566369911</v>
      </c>
      <c r="G309" s="27">
        <v>19.043808761752349</v>
      </c>
      <c r="H309" s="27">
        <v>19.593918783756749</v>
      </c>
      <c r="I309" s="27">
        <v>20.142014201420146</v>
      </c>
      <c r="J309" s="27">
        <v>21.232123212321234</v>
      </c>
      <c r="K309" s="27">
        <v>22.05</v>
      </c>
      <c r="L309" s="27">
        <v>23.184636927385476</v>
      </c>
      <c r="M309" s="27">
        <v>24.737421226367911</v>
      </c>
      <c r="N309" s="27">
        <v>25.872587258725876</v>
      </c>
      <c r="O309" s="27">
        <v>26.845369073814762</v>
      </c>
      <c r="P309" s="27">
        <v>28.202820282028206</v>
      </c>
    </row>
    <row r="310" spans="1:16" x14ac:dyDescent="0.25">
      <c r="A310" s="2">
        <v>308</v>
      </c>
      <c r="B310" s="27">
        <f t="shared" si="4"/>
        <v>15.024807442232667</v>
      </c>
      <c r="C310" s="27">
        <v>16.024807442232667</v>
      </c>
      <c r="D310" s="27">
        <v>17.233446689337867</v>
      </c>
      <c r="E310" s="27">
        <v>17.817126850740298</v>
      </c>
      <c r="F310" s="27">
        <v>18.385515654696405</v>
      </c>
      <c r="G310" s="27">
        <v>18.943788757751552</v>
      </c>
      <c r="H310" s="27">
        <v>19.493898779755948</v>
      </c>
      <c r="I310" s="27">
        <v>20.032003200320037</v>
      </c>
      <c r="J310" s="27">
        <v>21.112111211121114</v>
      </c>
      <c r="K310" s="27">
        <v>21.93</v>
      </c>
      <c r="L310" s="27">
        <v>23.074614922984598</v>
      </c>
      <c r="M310" s="27">
        <v>24.607382214664398</v>
      </c>
      <c r="N310" s="27">
        <v>25.742574257425744</v>
      </c>
      <c r="O310" s="27">
        <v>26.725345069013802</v>
      </c>
      <c r="P310" s="27">
        <v>28.072807280728078</v>
      </c>
    </row>
    <row r="311" spans="1:16" x14ac:dyDescent="0.25">
      <c r="A311" s="2">
        <v>309</v>
      </c>
      <c r="B311" s="27">
        <f t="shared" si="4"/>
        <v>14.924777433229968</v>
      </c>
      <c r="C311" s="27">
        <v>15.924777433229968</v>
      </c>
      <c r="D311" s="27">
        <v>17.143428685737149</v>
      </c>
      <c r="E311" s="27">
        <v>17.717086834733898</v>
      </c>
      <c r="F311" s="27">
        <v>18.275482644793435</v>
      </c>
      <c r="G311" s="27">
        <v>18.843768753750748</v>
      </c>
      <c r="H311" s="27">
        <v>19.38387677535507</v>
      </c>
      <c r="I311" s="27">
        <v>19.921992199219925</v>
      </c>
      <c r="J311" s="27">
        <v>20.992099209920994</v>
      </c>
      <c r="K311" s="27">
        <v>21.82</v>
      </c>
      <c r="L311" s="27">
        <v>22.964592918583715</v>
      </c>
      <c r="M311" s="27">
        <v>24.487346203861158</v>
      </c>
      <c r="N311" s="27">
        <v>25.622562256225628</v>
      </c>
      <c r="O311" s="27">
        <v>26.585317063412681</v>
      </c>
      <c r="P311" s="27">
        <v>27.952795279527955</v>
      </c>
    </row>
    <row r="312" spans="1:16" x14ac:dyDescent="0.25">
      <c r="A312" s="2">
        <v>310</v>
      </c>
      <c r="B312" s="27">
        <f t="shared" si="4"/>
        <v>14.844753426027808</v>
      </c>
      <c r="C312" s="27">
        <v>15.844753426027808</v>
      </c>
      <c r="D312" s="27">
        <v>17.053410682136427</v>
      </c>
      <c r="E312" s="27">
        <v>17.617046818727495</v>
      </c>
      <c r="F312" s="27">
        <v>18.175452635790737</v>
      </c>
      <c r="G312" s="27">
        <v>18.733746749349869</v>
      </c>
      <c r="H312" s="27">
        <v>19.283856771354269</v>
      </c>
      <c r="I312" s="27">
        <v>19.811981198119813</v>
      </c>
      <c r="J312" s="27">
        <v>20.882088208820885</v>
      </c>
      <c r="K312" s="27">
        <v>21.71</v>
      </c>
      <c r="L312" s="27">
        <v>22.854570914182837</v>
      </c>
      <c r="M312" s="27">
        <v>24.357307192157649</v>
      </c>
      <c r="N312" s="27">
        <v>25.502550255025508</v>
      </c>
      <c r="O312" s="27">
        <v>26.455291058211639</v>
      </c>
      <c r="P312" s="27">
        <v>27.822782278227827</v>
      </c>
    </row>
    <row r="313" spans="1:16" x14ac:dyDescent="0.25">
      <c r="A313" s="2">
        <v>311</v>
      </c>
      <c r="B313" s="27">
        <f t="shared" si="4"/>
        <v>14.754726417925376</v>
      </c>
      <c r="C313" s="27">
        <v>15.754726417925376</v>
      </c>
      <c r="D313" s="27">
        <v>16.963392678535708</v>
      </c>
      <c r="E313" s="27">
        <v>17.52701080432173</v>
      </c>
      <c r="F313" s="27">
        <v>18.075422626788036</v>
      </c>
      <c r="G313" s="27">
        <v>18.623724744948991</v>
      </c>
      <c r="H313" s="27">
        <v>19.173834766953391</v>
      </c>
      <c r="I313" s="27">
        <v>19.701970197019705</v>
      </c>
      <c r="J313" s="27">
        <v>20.772077207720773</v>
      </c>
      <c r="K313" s="27">
        <v>21.6</v>
      </c>
      <c r="L313" s="27">
        <v>22.734546909381876</v>
      </c>
      <c r="M313" s="27">
        <v>24.227268180454132</v>
      </c>
      <c r="N313" s="27">
        <v>25.382538253825384</v>
      </c>
      <c r="O313" s="27">
        <v>26.335267053410679</v>
      </c>
      <c r="P313" s="27">
        <v>27.692769276927699</v>
      </c>
    </row>
    <row r="314" spans="1:16" x14ac:dyDescent="0.25">
      <c r="A314" s="2">
        <v>312</v>
      </c>
      <c r="B314" s="27">
        <f t="shared" si="4"/>
        <v>14.664699409822946</v>
      </c>
      <c r="C314" s="27">
        <v>15.664699409822946</v>
      </c>
      <c r="D314" s="27">
        <v>16.853370674134826</v>
      </c>
      <c r="E314" s="27">
        <v>17.436974789915968</v>
      </c>
      <c r="F314" s="27">
        <v>17.965389616885066</v>
      </c>
      <c r="G314" s="27">
        <v>18.513702740548112</v>
      </c>
      <c r="H314" s="27">
        <v>19.063812762552509</v>
      </c>
      <c r="I314" s="27">
        <v>19.581958195819585</v>
      </c>
      <c r="J314" s="27">
        <v>20.672067206720676</v>
      </c>
      <c r="K314" s="27">
        <v>21.48</v>
      </c>
      <c r="L314" s="27">
        <v>22.614522904580916</v>
      </c>
      <c r="M314" s="27">
        <v>24.107232169650896</v>
      </c>
      <c r="N314" s="27">
        <v>25.262526252625268</v>
      </c>
      <c r="O314" s="27">
        <v>26.215243048609722</v>
      </c>
      <c r="P314" s="27">
        <v>27.562756275627564</v>
      </c>
    </row>
    <row r="315" spans="1:16" x14ac:dyDescent="0.25">
      <c r="A315" s="2">
        <v>313</v>
      </c>
      <c r="B315" s="27">
        <f t="shared" si="4"/>
        <v>14.564669400820245</v>
      </c>
      <c r="C315" s="27">
        <v>15.564669400820245</v>
      </c>
      <c r="D315" s="27">
        <v>16.753350670134026</v>
      </c>
      <c r="E315" s="27">
        <v>17.336934773909565</v>
      </c>
      <c r="F315" s="27">
        <v>17.865359607882365</v>
      </c>
      <c r="G315" s="27">
        <v>18.403680736147226</v>
      </c>
      <c r="H315" s="27">
        <v>18.95379075815163</v>
      </c>
      <c r="I315" s="27">
        <v>19.471947194719473</v>
      </c>
      <c r="J315" s="27">
        <v>20.562056205620564</v>
      </c>
      <c r="K315" s="27">
        <v>21.37</v>
      </c>
      <c r="L315" s="27">
        <v>22.514502900580116</v>
      </c>
      <c r="M315" s="27">
        <v>23.987196158847652</v>
      </c>
      <c r="N315" s="27">
        <v>25.132513251325136</v>
      </c>
      <c r="O315" s="27">
        <v>26.075215043008601</v>
      </c>
      <c r="P315" s="27">
        <v>27.432743274327436</v>
      </c>
    </row>
    <row r="316" spans="1:16" x14ac:dyDescent="0.25">
      <c r="A316" s="2">
        <v>314</v>
      </c>
      <c r="B316" s="27">
        <f t="shared" si="4"/>
        <v>14.474642392717815</v>
      </c>
      <c r="C316" s="27">
        <v>15.474642392717815</v>
      </c>
      <c r="D316" s="27">
        <v>16.653330666133225</v>
      </c>
      <c r="E316" s="27">
        <v>17.236894757903165</v>
      </c>
      <c r="F316" s="27">
        <v>17.775332599779933</v>
      </c>
      <c r="G316" s="27">
        <v>18.30366073214643</v>
      </c>
      <c r="H316" s="27">
        <v>18.85377075415083</v>
      </c>
      <c r="I316" s="27">
        <v>19.371937193719376</v>
      </c>
      <c r="J316" s="27">
        <v>20.452045204520456</v>
      </c>
      <c r="K316" s="27">
        <v>21.26</v>
      </c>
      <c r="L316" s="27">
        <v>22.384476895379073</v>
      </c>
      <c r="M316" s="27">
        <v>23.867160148044412</v>
      </c>
      <c r="N316" s="27">
        <v>25.002500250025005</v>
      </c>
      <c r="O316" s="27">
        <v>25.935187037407481</v>
      </c>
      <c r="P316" s="27">
        <v>27.312731273127316</v>
      </c>
    </row>
    <row r="317" spans="1:16" x14ac:dyDescent="0.25">
      <c r="A317" s="2">
        <v>315</v>
      </c>
      <c r="B317" s="27">
        <f t="shared" si="4"/>
        <v>14.374612383715112</v>
      </c>
      <c r="C317" s="27">
        <v>15.374612383715112</v>
      </c>
      <c r="D317" s="27">
        <v>16.553310662132425</v>
      </c>
      <c r="E317" s="27">
        <v>17.126850740296121</v>
      </c>
      <c r="F317" s="27">
        <v>17.675302590777235</v>
      </c>
      <c r="G317" s="27">
        <v>18.203640728145629</v>
      </c>
      <c r="H317" s="27">
        <v>18.753750750150029</v>
      </c>
      <c r="I317" s="27">
        <v>19.261926192619267</v>
      </c>
      <c r="J317" s="27">
        <v>20.332033203320332</v>
      </c>
      <c r="K317" s="27">
        <v>21.15</v>
      </c>
      <c r="L317" s="27">
        <v>22.244448889777953</v>
      </c>
      <c r="M317" s="27">
        <v>23.7371211363409</v>
      </c>
      <c r="N317" s="27">
        <v>24.872487248724877</v>
      </c>
      <c r="O317" s="27">
        <v>25.805161032206442</v>
      </c>
      <c r="P317" s="27">
        <v>27.17271727172718</v>
      </c>
    </row>
    <row r="318" spans="1:16" x14ac:dyDescent="0.25">
      <c r="A318" s="2">
        <v>316</v>
      </c>
      <c r="B318" s="27">
        <f t="shared" si="4"/>
        <v>14.294588376512952</v>
      </c>
      <c r="C318" s="27">
        <v>15.294588376512952</v>
      </c>
      <c r="D318" s="27">
        <v>16.463292658531707</v>
      </c>
      <c r="E318" s="27">
        <v>17.026810724289717</v>
      </c>
      <c r="F318" s="27">
        <v>17.575272581774531</v>
      </c>
      <c r="G318" s="27">
        <v>18.113622724544907</v>
      </c>
      <c r="H318" s="27">
        <v>18.643728745749151</v>
      </c>
      <c r="I318" s="27">
        <v>19.151915191519151</v>
      </c>
      <c r="J318" s="27">
        <v>20.212021202120216</v>
      </c>
      <c r="K318" s="27">
        <v>21.03</v>
      </c>
      <c r="L318" s="27">
        <v>22.114422884576914</v>
      </c>
      <c r="M318" s="27">
        <v>23.61708512553766</v>
      </c>
      <c r="N318" s="27">
        <v>24.752475247524757</v>
      </c>
      <c r="O318" s="27">
        <v>25.675135027005403</v>
      </c>
      <c r="P318" s="27">
        <v>27.032703270327037</v>
      </c>
    </row>
    <row r="319" spans="1:16" x14ac:dyDescent="0.25">
      <c r="A319" s="2">
        <v>317</v>
      </c>
      <c r="B319" s="27">
        <f t="shared" si="4"/>
        <v>14.204561368410522</v>
      </c>
      <c r="C319" s="27">
        <v>15.204561368410522</v>
      </c>
      <c r="D319" s="27">
        <v>16.383276655331066</v>
      </c>
      <c r="E319" s="27">
        <v>16.916766706682676</v>
      </c>
      <c r="F319" s="27">
        <v>17.46523957187156</v>
      </c>
      <c r="G319" s="27">
        <v>18.01360272054411</v>
      </c>
      <c r="H319" s="27">
        <v>18.533706741348269</v>
      </c>
      <c r="I319" s="27">
        <v>19.041904190419043</v>
      </c>
      <c r="J319" s="27">
        <v>20.092009200920096</v>
      </c>
      <c r="K319" s="27">
        <v>20.9</v>
      </c>
      <c r="L319" s="27">
        <v>21.994398879775954</v>
      </c>
      <c r="M319" s="27">
        <v>23.497049114734416</v>
      </c>
      <c r="N319" s="27">
        <v>24.632463246324633</v>
      </c>
      <c r="O319" s="27">
        <v>25.555111022204439</v>
      </c>
      <c r="P319" s="27">
        <v>26.902690269026905</v>
      </c>
    </row>
    <row r="320" spans="1:16" x14ac:dyDescent="0.25">
      <c r="A320" s="2">
        <v>318</v>
      </c>
      <c r="B320" s="27">
        <f t="shared" si="4"/>
        <v>14.124537361208361</v>
      </c>
      <c r="C320" s="27">
        <v>15.124537361208361</v>
      </c>
      <c r="D320" s="27">
        <v>16.283256651330266</v>
      </c>
      <c r="E320" s="27">
        <v>16.816726690676273</v>
      </c>
      <c r="F320" s="27">
        <v>17.34520356106832</v>
      </c>
      <c r="G320" s="27">
        <v>17.903580716143228</v>
      </c>
      <c r="H320" s="27">
        <v>18.42368473694739</v>
      </c>
      <c r="I320" s="27">
        <v>18.941894189418946</v>
      </c>
      <c r="J320" s="27">
        <v>19.981998199819984</v>
      </c>
      <c r="K320" s="27">
        <v>20.79</v>
      </c>
      <c r="L320" s="27">
        <v>21.884376875375072</v>
      </c>
      <c r="M320" s="27">
        <v>23.37701310393118</v>
      </c>
      <c r="N320" s="27">
        <v>24.512451245124517</v>
      </c>
      <c r="O320" s="27">
        <v>25.425085017003401</v>
      </c>
      <c r="P320" s="27">
        <v>26.772677267726777</v>
      </c>
    </row>
    <row r="321" spans="1:16" x14ac:dyDescent="0.25">
      <c r="A321" s="2">
        <v>319</v>
      </c>
      <c r="B321" s="27">
        <f t="shared" si="4"/>
        <v>14.044513354006201</v>
      </c>
      <c r="C321" s="27">
        <v>15.044513354006201</v>
      </c>
      <c r="D321" s="27">
        <v>16.183236647329466</v>
      </c>
      <c r="E321" s="27">
        <v>16.716686674669873</v>
      </c>
      <c r="F321" s="27">
        <v>17.23517055116535</v>
      </c>
      <c r="G321" s="27">
        <v>17.783556711342268</v>
      </c>
      <c r="H321" s="27">
        <v>18.313662732546508</v>
      </c>
      <c r="I321" s="27">
        <v>18.841884188418845</v>
      </c>
      <c r="J321" s="27">
        <v>19.871987198719875</v>
      </c>
      <c r="K321" s="27">
        <v>20.68</v>
      </c>
      <c r="L321" s="27">
        <v>21.774354870974193</v>
      </c>
      <c r="M321" s="27">
        <v>23.256977093127936</v>
      </c>
      <c r="N321" s="27">
        <v>24.382438243824385</v>
      </c>
      <c r="O321" s="27">
        <v>25.295059011802358</v>
      </c>
      <c r="P321" s="27">
        <v>26.642664266426646</v>
      </c>
    </row>
    <row r="322" spans="1:16" x14ac:dyDescent="0.25">
      <c r="A322" s="2">
        <v>320</v>
      </c>
      <c r="B322" s="27">
        <f t="shared" si="4"/>
        <v>13.964489346804042</v>
      </c>
      <c r="C322" s="27">
        <v>14.964489346804042</v>
      </c>
      <c r="D322" s="27">
        <v>16.083216643328662</v>
      </c>
      <c r="E322" s="27">
        <v>16.616646658663466</v>
      </c>
      <c r="F322" s="27">
        <v>17.145143543062918</v>
      </c>
      <c r="G322" s="27">
        <v>17.683536707341467</v>
      </c>
      <c r="H322" s="27">
        <v>18.213642728545707</v>
      </c>
      <c r="I322" s="27">
        <v>18.731873187318733</v>
      </c>
      <c r="J322" s="27">
        <v>19.751975197519755</v>
      </c>
      <c r="K322" s="27">
        <v>20.56</v>
      </c>
      <c r="L322" s="27">
        <v>21.654330866173233</v>
      </c>
      <c r="M322" s="27">
        <v>23.126938081424427</v>
      </c>
      <c r="N322" s="27">
        <v>24.262426242624269</v>
      </c>
      <c r="O322" s="27">
        <v>25.175035007001402</v>
      </c>
      <c r="P322" s="27">
        <v>26.522652265226526</v>
      </c>
    </row>
    <row r="323" spans="1:16" x14ac:dyDescent="0.25">
      <c r="A323" s="2">
        <v>321</v>
      </c>
      <c r="B323" s="27">
        <f t="shared" ref="B323:B352" si="5">C323-1</f>
        <v>13.88446533960188</v>
      </c>
      <c r="C323" s="27">
        <v>14.88446533960188</v>
      </c>
      <c r="D323" s="27">
        <v>15.993198639727945</v>
      </c>
      <c r="E323" s="27">
        <v>16.526610644257705</v>
      </c>
      <c r="F323" s="27">
        <v>17.055116534960487</v>
      </c>
      <c r="G323" s="27">
        <v>17.593518703740749</v>
      </c>
      <c r="H323" s="27">
        <v>18.113622724544907</v>
      </c>
      <c r="I323" s="27">
        <v>18.621862186218625</v>
      </c>
      <c r="J323" s="27">
        <v>19.651965196519654</v>
      </c>
      <c r="K323" s="27">
        <v>20.45</v>
      </c>
      <c r="L323" s="27">
        <v>21.544308861772354</v>
      </c>
      <c r="M323" s="27">
        <v>23.016905071521457</v>
      </c>
      <c r="N323" s="27">
        <v>24.132413241324134</v>
      </c>
      <c r="O323" s="27">
        <v>25.055011002200441</v>
      </c>
      <c r="P323" s="27">
        <v>26.402640264026406</v>
      </c>
    </row>
    <row r="324" spans="1:16" x14ac:dyDescent="0.25">
      <c r="A324" s="2">
        <v>322</v>
      </c>
      <c r="B324" s="27">
        <f t="shared" si="5"/>
        <v>13.794438331499448</v>
      </c>
      <c r="C324" s="27">
        <v>14.794438331499448</v>
      </c>
      <c r="D324" s="27">
        <v>15.903180636127225</v>
      </c>
      <c r="E324" s="27">
        <v>16.436574629851943</v>
      </c>
      <c r="F324" s="27">
        <v>16.975092527758324</v>
      </c>
      <c r="G324" s="27">
        <v>17.503500700140027</v>
      </c>
      <c r="H324" s="27">
        <v>18.01360272054411</v>
      </c>
      <c r="I324" s="27">
        <v>18.521852185218524</v>
      </c>
      <c r="J324" s="27">
        <v>19.551955195519554</v>
      </c>
      <c r="K324" s="27">
        <v>20.34</v>
      </c>
      <c r="L324" s="27">
        <v>21.434286857371472</v>
      </c>
      <c r="M324" s="27">
        <v>22.896869060718213</v>
      </c>
      <c r="N324" s="27">
        <v>24.002400240024006</v>
      </c>
      <c r="O324" s="27">
        <v>24.934986997399477</v>
      </c>
      <c r="P324" s="27">
        <v>26.292629262926294</v>
      </c>
    </row>
    <row r="325" spans="1:16" x14ac:dyDescent="0.25">
      <c r="A325" s="2">
        <v>323</v>
      </c>
      <c r="B325" s="27">
        <f t="shared" si="5"/>
        <v>13.714414324297289</v>
      </c>
      <c r="C325" s="27">
        <v>14.714414324297289</v>
      </c>
      <c r="D325" s="27">
        <v>15.813162632526504</v>
      </c>
      <c r="E325" s="27">
        <v>16.346538615446182</v>
      </c>
      <c r="F325" s="27">
        <v>16.875062518755627</v>
      </c>
      <c r="G325" s="27">
        <v>17.42348469693939</v>
      </c>
      <c r="H325" s="27">
        <v>17.923584716943388</v>
      </c>
      <c r="I325" s="27">
        <v>18.421842184218427</v>
      </c>
      <c r="J325" s="27">
        <v>19.451945194519453</v>
      </c>
      <c r="K325" s="27">
        <v>20.23</v>
      </c>
      <c r="L325" s="27">
        <v>21.324264852970593</v>
      </c>
      <c r="M325" s="27">
        <v>22.786836050815243</v>
      </c>
      <c r="N325" s="27">
        <v>23.892389238923897</v>
      </c>
      <c r="O325" s="27">
        <v>24.824964992998598</v>
      </c>
      <c r="P325" s="27">
        <v>26.172617261726177</v>
      </c>
    </row>
    <row r="326" spans="1:16" x14ac:dyDescent="0.25">
      <c r="A326" s="2">
        <v>324</v>
      </c>
      <c r="B326" s="27">
        <f t="shared" si="5"/>
        <v>13.614384315294586</v>
      </c>
      <c r="C326" s="27">
        <v>14.614384315294586</v>
      </c>
      <c r="D326" s="27">
        <v>15.713142628525706</v>
      </c>
      <c r="E326" s="27">
        <v>16.25650260104042</v>
      </c>
      <c r="F326" s="27">
        <v>16.775032509752926</v>
      </c>
      <c r="G326" s="27">
        <v>17.323464692938586</v>
      </c>
      <c r="H326" s="27">
        <v>17.833566713342666</v>
      </c>
      <c r="I326" s="27">
        <v>18.331833183318334</v>
      </c>
      <c r="J326" s="27">
        <v>19.341934193419345</v>
      </c>
      <c r="K326" s="27">
        <v>20.12</v>
      </c>
      <c r="L326" s="27">
        <v>21.224244848969793</v>
      </c>
      <c r="M326" s="27">
        <v>22.686806041812542</v>
      </c>
      <c r="N326" s="27">
        <v>23.792379237923797</v>
      </c>
      <c r="O326" s="27">
        <v>24.71494298859772</v>
      </c>
      <c r="P326" s="27">
        <v>26.062606260626065</v>
      </c>
    </row>
    <row r="327" spans="1:16" x14ac:dyDescent="0.25">
      <c r="A327" s="2">
        <v>325</v>
      </c>
      <c r="B327" s="27">
        <f t="shared" si="5"/>
        <v>13.524357307192156</v>
      </c>
      <c r="C327" s="27">
        <v>14.524357307192156</v>
      </c>
      <c r="D327" s="27">
        <v>15.623124624924984</v>
      </c>
      <c r="E327" s="27">
        <v>16.176470588235297</v>
      </c>
      <c r="F327" s="27">
        <v>16.675002500750224</v>
      </c>
      <c r="G327" s="27">
        <v>17.223444688937786</v>
      </c>
      <c r="H327" s="27">
        <v>17.733546709341869</v>
      </c>
      <c r="I327" s="27">
        <v>18.231823182318234</v>
      </c>
      <c r="J327" s="27">
        <v>19.241924192419244</v>
      </c>
      <c r="K327" s="27">
        <v>20.02</v>
      </c>
      <c r="L327" s="27">
        <v>21.114222844568911</v>
      </c>
      <c r="M327" s="27">
        <v>22.566770031009302</v>
      </c>
      <c r="N327" s="27">
        <v>23.672367236723677</v>
      </c>
      <c r="O327" s="27">
        <v>24.594918983796759</v>
      </c>
      <c r="P327" s="27">
        <v>25.942594259425949</v>
      </c>
    </row>
    <row r="328" spans="1:16" x14ac:dyDescent="0.25">
      <c r="A328" s="2">
        <v>326</v>
      </c>
      <c r="B328" s="27">
        <f t="shared" si="5"/>
        <v>13.424327298189455</v>
      </c>
      <c r="C328" s="27">
        <v>14.424327298189455</v>
      </c>
      <c r="D328" s="27">
        <v>15.533106621324263</v>
      </c>
      <c r="E328" s="27">
        <v>16.086434573829532</v>
      </c>
      <c r="F328" s="27">
        <v>16.594978493548062</v>
      </c>
      <c r="G328" s="27">
        <v>17.133426685337067</v>
      </c>
      <c r="H328" s="27">
        <v>17.633526705341065</v>
      </c>
      <c r="I328" s="27">
        <v>18.141814181418145</v>
      </c>
      <c r="J328" s="27">
        <v>19.131913191319132</v>
      </c>
      <c r="K328" s="27">
        <v>19.920000000000002</v>
      </c>
      <c r="L328" s="27">
        <v>21.004200840168032</v>
      </c>
      <c r="M328" s="27">
        <v>22.456737021106331</v>
      </c>
      <c r="N328" s="27">
        <v>23.552355235523557</v>
      </c>
      <c r="O328" s="27">
        <v>24.474894978995795</v>
      </c>
      <c r="P328" s="27">
        <v>25.812581258125814</v>
      </c>
    </row>
    <row r="329" spans="1:16" x14ac:dyDescent="0.25">
      <c r="A329" s="2">
        <v>327</v>
      </c>
      <c r="B329" s="27">
        <f t="shared" si="5"/>
        <v>13.334300290087025</v>
      </c>
      <c r="C329" s="27">
        <v>14.334300290087025</v>
      </c>
      <c r="D329" s="27">
        <v>15.463092618523705</v>
      </c>
      <c r="E329" s="27">
        <v>15.996398559423772</v>
      </c>
      <c r="F329" s="27">
        <v>16.504951485445634</v>
      </c>
      <c r="G329" s="27">
        <v>17.033406681336267</v>
      </c>
      <c r="H329" s="27">
        <v>17.553510702140429</v>
      </c>
      <c r="I329" s="27">
        <v>18.041804180418044</v>
      </c>
      <c r="J329" s="27">
        <v>19.041904190419043</v>
      </c>
      <c r="K329" s="27">
        <v>19.82</v>
      </c>
      <c r="L329" s="27">
        <v>20.904180836167232</v>
      </c>
      <c r="M329" s="27">
        <v>22.346704011203361</v>
      </c>
      <c r="N329" s="27">
        <v>23.442344234423448</v>
      </c>
      <c r="O329" s="27">
        <v>24.354870974194839</v>
      </c>
      <c r="P329" s="27">
        <v>25.692569256925697</v>
      </c>
    </row>
    <row r="330" spans="1:16" x14ac:dyDescent="0.25">
      <c r="A330" s="2">
        <v>328</v>
      </c>
      <c r="B330" s="27">
        <f t="shared" si="5"/>
        <v>13.244273281984595</v>
      </c>
      <c r="C330" s="27">
        <v>14.244273281984595</v>
      </c>
      <c r="D330" s="27">
        <v>15.383076615323064</v>
      </c>
      <c r="E330" s="27">
        <v>15.926370548219291</v>
      </c>
      <c r="F330" s="27">
        <v>16.424927478243475</v>
      </c>
      <c r="G330" s="27">
        <v>16.943388677735548</v>
      </c>
      <c r="H330" s="27">
        <v>17.463492698539707</v>
      </c>
      <c r="I330" s="27">
        <v>17.941794179417947</v>
      </c>
      <c r="J330" s="27">
        <v>18.951895189518954</v>
      </c>
      <c r="K330" s="27">
        <v>19.72</v>
      </c>
      <c r="L330" s="27">
        <v>20.804160832166431</v>
      </c>
      <c r="M330" s="27">
        <v>22.23667100130039</v>
      </c>
      <c r="N330" s="27">
        <v>23.332333233323332</v>
      </c>
      <c r="O330" s="27">
        <v>24.244848969793956</v>
      </c>
      <c r="P330" s="27">
        <v>25.582558255825585</v>
      </c>
    </row>
    <row r="331" spans="1:16" x14ac:dyDescent="0.25">
      <c r="A331" s="2">
        <v>329</v>
      </c>
      <c r="B331" s="27">
        <f t="shared" si="5"/>
        <v>13.164249274782433</v>
      </c>
      <c r="C331" s="27">
        <v>14.164249274782433</v>
      </c>
      <c r="D331" s="27">
        <v>15.303060612122424</v>
      </c>
      <c r="E331" s="27">
        <v>15.836334533813528</v>
      </c>
      <c r="F331" s="27">
        <v>16.344903471041309</v>
      </c>
      <c r="G331" s="27">
        <v>16.843368673734744</v>
      </c>
      <c r="H331" s="27">
        <v>17.373474694938988</v>
      </c>
      <c r="I331" s="27">
        <v>17.831783178317831</v>
      </c>
      <c r="J331" s="27">
        <v>18.851885188518857</v>
      </c>
      <c r="K331" s="27">
        <v>19.61</v>
      </c>
      <c r="L331" s="27">
        <v>20.704140828165631</v>
      </c>
      <c r="M331" s="27">
        <v>22.136640992297686</v>
      </c>
      <c r="N331" s="27">
        <v>23.212321232123216</v>
      </c>
      <c r="O331" s="27">
        <v>24.134826965393078</v>
      </c>
      <c r="P331" s="27">
        <v>25.472547254725473</v>
      </c>
    </row>
    <row r="332" spans="1:16" x14ac:dyDescent="0.25">
      <c r="A332" s="2">
        <v>330</v>
      </c>
      <c r="B332" s="27">
        <f t="shared" si="5"/>
        <v>13.084225267580273</v>
      </c>
      <c r="C332" s="27">
        <v>14.084225267580273</v>
      </c>
      <c r="D332" s="27">
        <v>15.213042608521704</v>
      </c>
      <c r="E332" s="27">
        <v>15.746298519407766</v>
      </c>
      <c r="F332" s="27">
        <v>16.254876462938881</v>
      </c>
      <c r="G332" s="27">
        <v>16.763352670534108</v>
      </c>
      <c r="H332" s="27">
        <v>17.283456691338269</v>
      </c>
      <c r="I332" s="27">
        <v>17.741774177417742</v>
      </c>
      <c r="J332" s="27">
        <v>18.751875187518756</v>
      </c>
      <c r="K332" s="27">
        <v>19.510000000000002</v>
      </c>
      <c r="L332" s="27">
        <v>20.604120824164834</v>
      </c>
      <c r="M332" s="27">
        <v>22.026607982394715</v>
      </c>
      <c r="N332" s="27">
        <v>23.112311231123115</v>
      </c>
      <c r="O332" s="27">
        <v>24.024804960992196</v>
      </c>
      <c r="P332" s="27">
        <v>25.372537253725376</v>
      </c>
    </row>
    <row r="333" spans="1:16" x14ac:dyDescent="0.25">
      <c r="A333" s="2">
        <v>331</v>
      </c>
      <c r="B333" s="27">
        <f t="shared" si="5"/>
        <v>13.004201260378112</v>
      </c>
      <c r="C333" s="27">
        <v>14.004201260378112</v>
      </c>
      <c r="D333" s="27">
        <v>15.123024604920984</v>
      </c>
      <c r="E333" s="27">
        <v>15.656262505002003</v>
      </c>
      <c r="F333" s="27">
        <v>16.16484945483645</v>
      </c>
      <c r="G333" s="27">
        <v>16.683336667333467</v>
      </c>
      <c r="H333" s="27">
        <v>17.193438687737547</v>
      </c>
      <c r="I333" s="27">
        <v>17.641764176417645</v>
      </c>
      <c r="J333" s="27">
        <v>18.651865186518652</v>
      </c>
      <c r="K333" s="27">
        <v>19.41</v>
      </c>
      <c r="L333" s="27">
        <v>20.50410082016403</v>
      </c>
      <c r="M333" s="27">
        <v>21.926577973392018</v>
      </c>
      <c r="N333" s="27">
        <v>23.022302230223026</v>
      </c>
      <c r="O333" s="27">
        <v>23.914782956591317</v>
      </c>
      <c r="P333" s="27">
        <v>25.262526252625268</v>
      </c>
    </row>
    <row r="334" spans="1:16" x14ac:dyDescent="0.25">
      <c r="A334" s="2">
        <v>332</v>
      </c>
      <c r="B334" s="27">
        <f t="shared" si="5"/>
        <v>12.934180254076221</v>
      </c>
      <c r="C334" s="27">
        <v>13.934180254076221</v>
      </c>
      <c r="D334" s="27">
        <v>15.053010602120423</v>
      </c>
      <c r="E334" s="27">
        <v>15.566226490596241</v>
      </c>
      <c r="F334" s="27">
        <v>16.074822446734018</v>
      </c>
      <c r="G334" s="27">
        <v>16.593318663732745</v>
      </c>
      <c r="H334" s="27">
        <v>17.083416683336665</v>
      </c>
      <c r="I334" s="27">
        <v>17.551755175517556</v>
      </c>
      <c r="J334" s="27">
        <v>18.561856185618563</v>
      </c>
      <c r="K334" s="27">
        <v>19.309999999999999</v>
      </c>
      <c r="L334" s="27">
        <v>20.40408081616323</v>
      </c>
      <c r="M334" s="27">
        <v>21.816544963489044</v>
      </c>
      <c r="N334" s="27">
        <v>22.912291229122914</v>
      </c>
      <c r="O334" s="27">
        <v>23.804760952190438</v>
      </c>
      <c r="P334" s="27">
        <v>25.142514251425148</v>
      </c>
    </row>
    <row r="335" spans="1:16" x14ac:dyDescent="0.25">
      <c r="A335" s="2">
        <v>333</v>
      </c>
      <c r="B335" s="27">
        <f t="shared" si="5"/>
        <v>12.85415624687406</v>
      </c>
      <c r="C335" s="27">
        <v>13.85415624687406</v>
      </c>
      <c r="D335" s="27">
        <v>14.982996599319863</v>
      </c>
      <c r="E335" s="27">
        <v>15.47619047619048</v>
      </c>
      <c r="F335" s="27">
        <v>15.984795438631588</v>
      </c>
      <c r="G335" s="27">
        <v>16.493298659731945</v>
      </c>
      <c r="H335" s="27">
        <v>16.973394678935787</v>
      </c>
      <c r="I335" s="27">
        <v>17.451745174517452</v>
      </c>
      <c r="J335" s="27">
        <v>18.461846184618466</v>
      </c>
      <c r="K335" s="27">
        <v>19.2</v>
      </c>
      <c r="L335" s="27">
        <v>20.284056811362273</v>
      </c>
      <c r="M335" s="27">
        <v>21.696508952685807</v>
      </c>
      <c r="N335" s="27">
        <v>22.782278227822786</v>
      </c>
      <c r="O335" s="27">
        <v>23.684736947389478</v>
      </c>
      <c r="P335" s="27">
        <v>25.012501250125016</v>
      </c>
    </row>
    <row r="336" spans="1:16" x14ac:dyDescent="0.25">
      <c r="A336" s="2">
        <v>334</v>
      </c>
      <c r="B336" s="27">
        <f t="shared" si="5"/>
        <v>12.7741322396719</v>
      </c>
      <c r="C336" s="27">
        <v>13.7741322396719</v>
      </c>
      <c r="D336" s="27">
        <v>14.882976595319064</v>
      </c>
      <c r="E336" s="27">
        <v>15.376150460184075</v>
      </c>
      <c r="F336" s="27">
        <v>15.884765429628889</v>
      </c>
      <c r="G336" s="27">
        <v>16.393278655731145</v>
      </c>
      <c r="H336" s="27">
        <v>16.873374674934986</v>
      </c>
      <c r="I336" s="27">
        <v>17.351735173517355</v>
      </c>
      <c r="J336" s="27">
        <v>18.361836183618365</v>
      </c>
      <c r="K336" s="27">
        <v>19.09</v>
      </c>
      <c r="L336" s="27">
        <v>20.174034806961394</v>
      </c>
      <c r="M336" s="27">
        <v>21.576472941882564</v>
      </c>
      <c r="N336" s="27">
        <v>22.662266226622666</v>
      </c>
      <c r="O336" s="27">
        <v>23.574714942988596</v>
      </c>
      <c r="P336" s="27">
        <v>24.882488248824885</v>
      </c>
    </row>
    <row r="337" spans="1:16" x14ac:dyDescent="0.25">
      <c r="A337" s="2">
        <v>335</v>
      </c>
      <c r="B337" s="27">
        <f t="shared" si="5"/>
        <v>12.704111233370009</v>
      </c>
      <c r="C337" s="27">
        <v>13.704111233370009</v>
      </c>
      <c r="D337" s="27">
        <v>14.772954590918182</v>
      </c>
      <c r="E337" s="27">
        <v>15.286114445778313</v>
      </c>
      <c r="F337" s="27">
        <v>15.784735420626186</v>
      </c>
      <c r="G337" s="27">
        <v>16.293258651730344</v>
      </c>
      <c r="H337" s="27">
        <v>16.773354670934186</v>
      </c>
      <c r="I337" s="27">
        <v>17.251725172517254</v>
      </c>
      <c r="J337" s="27">
        <v>18.251825182518253</v>
      </c>
      <c r="K337" s="27">
        <v>18.98</v>
      </c>
      <c r="L337" s="27">
        <v>20.07401480296059</v>
      </c>
      <c r="M337" s="27">
        <v>21.466439931979593</v>
      </c>
      <c r="N337" s="27">
        <v>22.552255225522558</v>
      </c>
      <c r="O337" s="27">
        <v>23.454690938187635</v>
      </c>
      <c r="P337" s="27">
        <v>24.772477247724776</v>
      </c>
    </row>
    <row r="338" spans="1:16" x14ac:dyDescent="0.25">
      <c r="A338" s="2">
        <v>336</v>
      </c>
      <c r="B338" s="27">
        <f t="shared" si="5"/>
        <v>12.634090227068119</v>
      </c>
      <c r="C338" s="27">
        <v>13.634090227068119</v>
      </c>
      <c r="D338" s="27">
        <v>14.672934586917382</v>
      </c>
      <c r="E338" s="27">
        <v>15.20608243297319</v>
      </c>
      <c r="F338" s="27">
        <v>15.684705411623487</v>
      </c>
      <c r="G338" s="27">
        <v>16.193238647729547</v>
      </c>
      <c r="H338" s="27">
        <v>16.673334666933389</v>
      </c>
      <c r="I338" s="27">
        <v>17.161716171617165</v>
      </c>
      <c r="J338" s="27">
        <v>18.151815181518153</v>
      </c>
      <c r="K338" s="27">
        <v>18.88</v>
      </c>
      <c r="L338" s="27">
        <v>19.963992798559712</v>
      </c>
      <c r="M338" s="27">
        <v>21.356406922076623</v>
      </c>
      <c r="N338" s="27">
        <v>22.442244224422446</v>
      </c>
      <c r="O338" s="27">
        <v>23.334666933386675</v>
      </c>
      <c r="P338" s="27">
        <v>24.662466246624668</v>
      </c>
    </row>
    <row r="339" spans="1:16" x14ac:dyDescent="0.25">
      <c r="A339" s="2">
        <v>337</v>
      </c>
      <c r="B339" s="27">
        <f t="shared" si="5"/>
        <v>12.56406922076623</v>
      </c>
      <c r="C339" s="27">
        <v>13.56406922076623</v>
      </c>
      <c r="D339" s="27">
        <v>14.592918583716743</v>
      </c>
      <c r="E339" s="27">
        <v>15.116046418567429</v>
      </c>
      <c r="F339" s="27">
        <v>15.594678403521055</v>
      </c>
      <c r="G339" s="27">
        <v>16.103220644128825</v>
      </c>
      <c r="H339" s="27">
        <v>16.583316663332663</v>
      </c>
      <c r="I339" s="27">
        <v>17.061706170617065</v>
      </c>
      <c r="J339" s="27">
        <v>18.041804180418044</v>
      </c>
      <c r="K339" s="27">
        <v>18.77</v>
      </c>
      <c r="L339" s="27">
        <v>19.853970794158833</v>
      </c>
      <c r="M339" s="27">
        <v>21.236370911273379</v>
      </c>
      <c r="N339" s="27">
        <v>22.322232223222326</v>
      </c>
      <c r="O339" s="27">
        <v>23.214642928585718</v>
      </c>
      <c r="P339" s="27">
        <v>24.542454245424544</v>
      </c>
    </row>
    <row r="340" spans="1:16" x14ac:dyDescent="0.25">
      <c r="A340" s="2">
        <v>338</v>
      </c>
      <c r="B340" s="27">
        <f t="shared" si="5"/>
        <v>12.48404521356407</v>
      </c>
      <c r="C340" s="27">
        <v>13.48404521356407</v>
      </c>
      <c r="D340" s="27">
        <v>14.512902580516103</v>
      </c>
      <c r="E340" s="27">
        <v>15.026010404161667</v>
      </c>
      <c r="F340" s="27">
        <v>15.514654396318894</v>
      </c>
      <c r="G340" s="27">
        <v>16.013202640528107</v>
      </c>
      <c r="H340" s="27">
        <v>16.493298659731945</v>
      </c>
      <c r="I340" s="27">
        <v>16.971697169716972</v>
      </c>
      <c r="J340" s="27">
        <v>17.941794179417947</v>
      </c>
      <c r="K340" s="27">
        <v>18.670000000000002</v>
      </c>
      <c r="L340" s="27">
        <v>19.733946789357873</v>
      </c>
      <c r="M340" s="27">
        <v>21.11633490047014</v>
      </c>
      <c r="N340" s="27">
        <v>22.212221222122217</v>
      </c>
      <c r="O340" s="27">
        <v>23.104620924184836</v>
      </c>
      <c r="P340" s="27">
        <v>24.422442244224428</v>
      </c>
    </row>
    <row r="341" spans="1:16" x14ac:dyDescent="0.25">
      <c r="A341" s="2">
        <v>339</v>
      </c>
      <c r="B341" s="27">
        <f t="shared" si="5"/>
        <v>12.404021206361907</v>
      </c>
      <c r="C341" s="27">
        <v>13.404021206361907</v>
      </c>
      <c r="D341" s="27">
        <v>14.422884576915383</v>
      </c>
      <c r="E341" s="27">
        <v>14.945978391356544</v>
      </c>
      <c r="F341" s="27">
        <v>15.434630389116734</v>
      </c>
      <c r="G341" s="27">
        <v>15.923184636927385</v>
      </c>
      <c r="H341" s="27">
        <v>16.403280656131223</v>
      </c>
      <c r="I341" s="27">
        <v>16.881688168816883</v>
      </c>
      <c r="J341" s="27">
        <v>17.841784178417843</v>
      </c>
      <c r="K341" s="27">
        <v>18.579999999999998</v>
      </c>
      <c r="L341" s="27">
        <v>19.633926785357069</v>
      </c>
      <c r="M341" s="27">
        <v>21.006301890567169</v>
      </c>
      <c r="N341" s="27">
        <v>22.102210221022105</v>
      </c>
      <c r="O341" s="27">
        <v>22.984596919383876</v>
      </c>
      <c r="P341" s="27">
        <v>24.292429242924296</v>
      </c>
    </row>
    <row r="342" spans="1:16" x14ac:dyDescent="0.25">
      <c r="A342" s="2">
        <v>340</v>
      </c>
      <c r="B342" s="27">
        <f t="shared" si="5"/>
        <v>12.313994198259477</v>
      </c>
      <c r="C342" s="27">
        <v>13.313994198259477</v>
      </c>
      <c r="D342" s="27">
        <v>14.332866573314663</v>
      </c>
      <c r="E342" s="27">
        <v>14.865946378551422</v>
      </c>
      <c r="F342" s="27">
        <v>15.344603381014304</v>
      </c>
      <c r="G342" s="27">
        <v>15.833166633326664</v>
      </c>
      <c r="H342" s="27">
        <v>16.313262652530504</v>
      </c>
      <c r="I342" s="27">
        <v>16.791679167916794</v>
      </c>
      <c r="J342" s="27">
        <v>17.741774177417742</v>
      </c>
      <c r="K342" s="27">
        <v>18.489999999999998</v>
      </c>
      <c r="L342" s="27">
        <v>19.533906781356272</v>
      </c>
      <c r="M342" s="27">
        <v>20.906271881564468</v>
      </c>
      <c r="N342" s="27">
        <v>21.982198219821985</v>
      </c>
      <c r="O342" s="27">
        <v>22.864572914582915</v>
      </c>
      <c r="P342" s="27">
        <v>24.172417241724176</v>
      </c>
    </row>
    <row r="343" spans="1:16" x14ac:dyDescent="0.25">
      <c r="A343" s="2">
        <v>341</v>
      </c>
      <c r="B343" s="27">
        <f t="shared" si="5"/>
        <v>12.243973191957586</v>
      </c>
      <c r="C343" s="27">
        <v>13.243973191957586</v>
      </c>
      <c r="D343" s="27">
        <v>14.252850570114022</v>
      </c>
      <c r="E343" s="27">
        <v>14.775910364145661</v>
      </c>
      <c r="F343" s="27">
        <v>15.264579373812142</v>
      </c>
      <c r="G343" s="27">
        <v>15.753150630126024</v>
      </c>
      <c r="H343" s="27">
        <v>16.223244648929786</v>
      </c>
      <c r="I343" s="27">
        <v>16.701670167016704</v>
      </c>
      <c r="J343" s="27">
        <v>17.641764176417645</v>
      </c>
      <c r="K343" s="27">
        <v>18.39</v>
      </c>
      <c r="L343" s="27">
        <v>19.44388877775555</v>
      </c>
      <c r="M343" s="27">
        <v>20.806241872561767</v>
      </c>
      <c r="N343" s="27">
        <v>21.882188218821884</v>
      </c>
      <c r="O343" s="27">
        <v>22.754550910182036</v>
      </c>
      <c r="P343" s="27">
        <v>24.062406240624064</v>
      </c>
    </row>
    <row r="344" spans="1:16" x14ac:dyDescent="0.25">
      <c r="A344" s="2">
        <v>342</v>
      </c>
      <c r="B344" s="27">
        <f t="shared" si="5"/>
        <v>12.173952185655695</v>
      </c>
      <c r="C344" s="27">
        <v>13.173952185655695</v>
      </c>
      <c r="D344" s="27">
        <v>14.172834566913382</v>
      </c>
      <c r="E344" s="27">
        <v>14.695878351340538</v>
      </c>
      <c r="F344" s="27">
        <v>15.184555366609981</v>
      </c>
      <c r="G344" s="27">
        <v>15.673134626925384</v>
      </c>
      <c r="H344" s="27">
        <v>16.143228645729145</v>
      </c>
      <c r="I344" s="27">
        <v>16.611661166116612</v>
      </c>
      <c r="J344" s="27">
        <v>17.551755175517556</v>
      </c>
      <c r="K344" s="27">
        <v>18.28</v>
      </c>
      <c r="L344" s="27">
        <v>19.34386877375475</v>
      </c>
      <c r="M344" s="27">
        <v>20.706211863559066</v>
      </c>
      <c r="N344" s="27">
        <v>21.792179217921795</v>
      </c>
      <c r="O344" s="27">
        <v>22.644528905781154</v>
      </c>
      <c r="P344" s="27">
        <v>23.962396239623967</v>
      </c>
    </row>
    <row r="345" spans="1:16" x14ac:dyDescent="0.25">
      <c r="A345" s="2">
        <v>343</v>
      </c>
      <c r="B345" s="27">
        <f t="shared" si="5"/>
        <v>12.093928178453535</v>
      </c>
      <c r="C345" s="27">
        <v>13.093928178453535</v>
      </c>
      <c r="D345" s="27">
        <v>14.102820564112822</v>
      </c>
      <c r="E345" s="27">
        <v>14.615846338535416</v>
      </c>
      <c r="F345" s="27">
        <v>15.104531359407821</v>
      </c>
      <c r="G345" s="27">
        <v>15.583116623324665</v>
      </c>
      <c r="H345" s="27">
        <v>16.053210642128427</v>
      </c>
      <c r="I345" s="27">
        <v>16.521652165216523</v>
      </c>
      <c r="J345" s="27">
        <v>17.471747174717471</v>
      </c>
      <c r="K345" s="27">
        <v>18.18</v>
      </c>
      <c r="L345" s="27">
        <v>19.243848769753949</v>
      </c>
      <c r="M345" s="27">
        <v>20.606181854556368</v>
      </c>
      <c r="N345" s="27">
        <v>21.692169216921698</v>
      </c>
      <c r="O345" s="27">
        <v>22.544508901780354</v>
      </c>
      <c r="P345" s="27">
        <v>23.862386238623866</v>
      </c>
    </row>
    <row r="346" spans="1:16" x14ac:dyDescent="0.25">
      <c r="A346" s="2">
        <v>344</v>
      </c>
      <c r="B346" s="27">
        <f t="shared" si="5"/>
        <v>12.023907172151644</v>
      </c>
      <c r="C346" s="27">
        <v>13.023907172151644</v>
      </c>
      <c r="D346" s="27">
        <v>14.022804560912181</v>
      </c>
      <c r="E346" s="27">
        <v>14.535814325730295</v>
      </c>
      <c r="F346" s="27">
        <v>15.014504351305391</v>
      </c>
      <c r="G346" s="27">
        <v>15.493098619723945</v>
      </c>
      <c r="H346" s="27">
        <v>15.973194638927785</v>
      </c>
      <c r="I346" s="27">
        <v>16.441644164416445</v>
      </c>
      <c r="J346" s="27">
        <v>17.381738173817382</v>
      </c>
      <c r="K346" s="27">
        <v>18.079999999999998</v>
      </c>
      <c r="L346" s="27">
        <v>19.143828765753149</v>
      </c>
      <c r="M346" s="27">
        <v>20.516154846453936</v>
      </c>
      <c r="N346" s="27">
        <v>21.592159215921594</v>
      </c>
      <c r="O346" s="27">
        <v>22.454490898179635</v>
      </c>
      <c r="P346" s="27">
        <v>23.752375237523754</v>
      </c>
    </row>
    <row r="347" spans="1:16" x14ac:dyDescent="0.25">
      <c r="A347" s="2">
        <v>345</v>
      </c>
      <c r="B347" s="27">
        <f t="shared" si="5"/>
        <v>11.943883164949483</v>
      </c>
      <c r="C347" s="27">
        <v>12.943883164949483</v>
      </c>
      <c r="D347" s="27">
        <v>13.942788557711541</v>
      </c>
      <c r="E347" s="27">
        <v>14.465786314525813</v>
      </c>
      <c r="F347" s="27">
        <v>14.93448034410323</v>
      </c>
      <c r="G347" s="27">
        <v>15.423084616923385</v>
      </c>
      <c r="H347" s="27">
        <v>15.883176635327066</v>
      </c>
      <c r="I347" s="27">
        <v>16.351635163516356</v>
      </c>
      <c r="J347" s="27">
        <v>17.301730173017305</v>
      </c>
      <c r="K347" s="27">
        <v>18</v>
      </c>
      <c r="L347" s="27">
        <v>19.05381076215243</v>
      </c>
      <c r="M347" s="27">
        <v>20.416124837451235</v>
      </c>
      <c r="N347" s="27">
        <v>21.482148214821486</v>
      </c>
      <c r="O347" s="27">
        <v>22.354470894178835</v>
      </c>
      <c r="P347" s="27">
        <v>23.652365236523654</v>
      </c>
    </row>
    <row r="348" spans="1:16" x14ac:dyDescent="0.25">
      <c r="A348" s="2">
        <v>346</v>
      </c>
      <c r="B348" s="27">
        <f t="shared" si="5"/>
        <v>11.863859157747322</v>
      </c>
      <c r="C348" s="27">
        <v>12.863859157747322</v>
      </c>
      <c r="D348" s="27">
        <v>13.872774554910981</v>
      </c>
      <c r="E348" s="27">
        <v>14.385754301720691</v>
      </c>
      <c r="F348" s="27">
        <v>14.864459337801339</v>
      </c>
      <c r="G348" s="27">
        <v>15.343068613722744</v>
      </c>
      <c r="H348" s="27">
        <v>15.793158631726344</v>
      </c>
      <c r="I348" s="27">
        <v>16.261626162616267</v>
      </c>
      <c r="J348" s="27">
        <v>17.211721172117215</v>
      </c>
      <c r="K348" s="27">
        <v>17.920000000000002</v>
      </c>
      <c r="L348" s="27">
        <v>18.97379475895179</v>
      </c>
      <c r="M348" s="27">
        <v>20.316094828448531</v>
      </c>
      <c r="N348" s="27">
        <v>21.382138213821385</v>
      </c>
      <c r="O348" s="27">
        <v>22.234446889377875</v>
      </c>
      <c r="P348" s="27">
        <v>23.542354235423545</v>
      </c>
    </row>
    <row r="349" spans="1:16" x14ac:dyDescent="0.25">
      <c r="A349" s="2">
        <v>347</v>
      </c>
      <c r="B349" s="27">
        <f t="shared" si="5"/>
        <v>11.783835150545162</v>
      </c>
      <c r="C349" s="27">
        <v>12.783835150545162</v>
      </c>
      <c r="D349" s="27">
        <v>13.792758551710341</v>
      </c>
      <c r="E349" s="27">
        <v>14.285714285714286</v>
      </c>
      <c r="F349" s="27">
        <v>14.784435330599178</v>
      </c>
      <c r="G349" s="27">
        <v>15.253050610122024</v>
      </c>
      <c r="H349" s="27">
        <v>15.713142628525706</v>
      </c>
      <c r="I349" s="27">
        <v>16.181618161816182</v>
      </c>
      <c r="J349" s="27">
        <v>17.111711171117115</v>
      </c>
      <c r="K349" s="27">
        <v>17.82</v>
      </c>
      <c r="L349" s="27">
        <v>18.89377875575115</v>
      </c>
      <c r="M349" s="27">
        <v>20.20606181854556</v>
      </c>
      <c r="N349" s="27">
        <v>21.282128212821288</v>
      </c>
      <c r="O349" s="27">
        <v>22.134426885377074</v>
      </c>
      <c r="P349" s="27">
        <v>23.432343234323437</v>
      </c>
    </row>
    <row r="350" spans="1:16" x14ac:dyDescent="0.25">
      <c r="A350" s="2">
        <v>348</v>
      </c>
      <c r="B350" s="27">
        <f t="shared" si="5"/>
        <v>11.713814144243273</v>
      </c>
      <c r="C350" s="27">
        <v>12.713814144243273</v>
      </c>
      <c r="D350" s="27">
        <v>13.722744548909782</v>
      </c>
      <c r="E350" s="27">
        <v>14.205682272909165</v>
      </c>
      <c r="F350" s="27">
        <v>14.694408322496747</v>
      </c>
      <c r="G350" s="27">
        <v>15.163032606521304</v>
      </c>
      <c r="H350" s="27">
        <v>15.623124624924984</v>
      </c>
      <c r="I350" s="27">
        <v>16.091609160916093</v>
      </c>
      <c r="J350" s="27">
        <v>17.011701170117014</v>
      </c>
      <c r="K350" s="27">
        <v>17.73</v>
      </c>
      <c r="L350" s="27">
        <v>18.793758751750349</v>
      </c>
      <c r="M350" s="27">
        <v>20.08602580774232</v>
      </c>
      <c r="N350" s="27">
        <v>21.192119211921195</v>
      </c>
      <c r="O350" s="27">
        <v>22.024404880976192</v>
      </c>
      <c r="P350" s="27">
        <v>23.322332233223324</v>
      </c>
    </row>
    <row r="351" spans="1:16" x14ac:dyDescent="0.25">
      <c r="A351" s="2">
        <v>349</v>
      </c>
      <c r="B351" s="27">
        <f t="shared" si="5"/>
        <v>11.643793137941381</v>
      </c>
      <c r="C351" s="27">
        <v>12.643793137941381</v>
      </c>
      <c r="D351" s="27">
        <v>13.642728545709142</v>
      </c>
      <c r="E351" s="27">
        <v>14.135654261704685</v>
      </c>
      <c r="F351" s="27">
        <v>14.614384315294586</v>
      </c>
      <c r="G351" s="27">
        <v>15.073014602920583</v>
      </c>
      <c r="H351" s="27">
        <v>15.543108621724343</v>
      </c>
      <c r="I351" s="27">
        <v>16.001600160016004</v>
      </c>
      <c r="J351" s="27">
        <v>16.931693169316933</v>
      </c>
      <c r="K351" s="27">
        <v>17.63</v>
      </c>
      <c r="L351" s="27">
        <v>18.683736747349467</v>
      </c>
      <c r="M351" s="27">
        <v>19.97599279783935</v>
      </c>
      <c r="N351" s="27">
        <v>21.082108210821083</v>
      </c>
      <c r="O351" s="27">
        <v>21.914382876575313</v>
      </c>
      <c r="P351" s="27">
        <v>23.212321232123216</v>
      </c>
    </row>
    <row r="352" spans="1:16" x14ac:dyDescent="0.25">
      <c r="A352" s="2">
        <v>350</v>
      </c>
      <c r="B352" s="27">
        <f t="shared" si="5"/>
        <v>11.573772131639492</v>
      </c>
      <c r="C352" s="27">
        <v>12.573772131639492</v>
      </c>
      <c r="D352" s="27">
        <v>13.572714542908582</v>
      </c>
      <c r="E352" s="27">
        <v>14.065626250500204</v>
      </c>
      <c r="F352" s="27">
        <v>14.544363308992695</v>
      </c>
      <c r="G352" s="27">
        <v>14.982996599319863</v>
      </c>
      <c r="H352" s="27">
        <v>15.483096619323865</v>
      </c>
      <c r="I352" s="27">
        <v>15.931593159315934</v>
      </c>
      <c r="J352" s="27">
        <v>16.851685168516855</v>
      </c>
      <c r="K352" s="27">
        <v>17.510000000000002</v>
      </c>
      <c r="L352" s="27">
        <v>18.553710742148429</v>
      </c>
      <c r="M352" s="27">
        <v>19.885965789736918</v>
      </c>
      <c r="N352" s="27">
        <v>20.942094209420947</v>
      </c>
      <c r="O352" s="27">
        <v>21.794358871774353</v>
      </c>
      <c r="P352" s="27">
        <v>23.102310231023107</v>
      </c>
    </row>
    <row r="353" spans="1:16" x14ac:dyDescent="0.25">
      <c r="A353" s="2">
        <v>351</v>
      </c>
      <c r="B353" s="35">
        <f>B352-0.1</f>
        <v>11.473772131639492</v>
      </c>
      <c r="C353" s="35">
        <f t="shared" ref="C353:P353" si="6">C352-0.1</f>
        <v>12.473772131639492</v>
      </c>
      <c r="D353" s="35">
        <f t="shared" si="6"/>
        <v>13.472714542908582</v>
      </c>
      <c r="E353" s="35">
        <f t="shared" si="6"/>
        <v>13.965626250500204</v>
      </c>
      <c r="F353" s="35">
        <f t="shared" si="6"/>
        <v>14.444363308992695</v>
      </c>
      <c r="G353" s="35">
        <f t="shared" si="6"/>
        <v>14.882996599319863</v>
      </c>
      <c r="H353" s="35">
        <f t="shared" si="6"/>
        <v>15.383096619323865</v>
      </c>
      <c r="I353" s="35">
        <f t="shared" si="6"/>
        <v>15.831593159315934</v>
      </c>
      <c r="J353" s="35">
        <f t="shared" si="6"/>
        <v>16.751685168516854</v>
      </c>
      <c r="K353" s="35">
        <f t="shared" si="6"/>
        <v>17.41</v>
      </c>
      <c r="L353" s="35">
        <f t="shared" si="6"/>
        <v>18.453710742148427</v>
      </c>
      <c r="M353" s="35">
        <f t="shared" si="6"/>
        <v>19.785965789736917</v>
      </c>
      <c r="N353" s="35">
        <f t="shared" si="6"/>
        <v>20.842094209420946</v>
      </c>
      <c r="O353" s="35">
        <f t="shared" si="6"/>
        <v>21.694358871774352</v>
      </c>
      <c r="P353" s="35">
        <f t="shared" si="6"/>
        <v>23.002310231023106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352"/>
  <sheetViews>
    <sheetView tabSelected="1" workbookViewId="0">
      <selection activeCell="Z10" sqref="Z10"/>
    </sheetView>
  </sheetViews>
  <sheetFormatPr defaultRowHeight="15" x14ac:dyDescent="0.25"/>
  <cols>
    <col min="1" max="1" width="19.28515625" customWidth="1"/>
    <col min="2" max="2" width="12.85546875" customWidth="1"/>
    <col min="3" max="3" width="10.5703125" customWidth="1"/>
    <col min="17" max="17" width="15.42578125" customWidth="1"/>
  </cols>
  <sheetData>
    <row r="1" spans="1:18" x14ac:dyDescent="0.25">
      <c r="A1" s="2" t="s">
        <v>52</v>
      </c>
      <c r="B1" s="2">
        <v>20</v>
      </c>
      <c r="C1" s="2">
        <v>30</v>
      </c>
      <c r="D1" s="2">
        <v>40</v>
      </c>
      <c r="E1" s="2">
        <v>50</v>
      </c>
      <c r="F1" s="2">
        <v>60</v>
      </c>
      <c r="G1" s="2">
        <v>70</v>
      </c>
      <c r="H1" s="2">
        <v>80</v>
      </c>
      <c r="I1" s="2">
        <v>100</v>
      </c>
      <c r="J1" s="2">
        <v>120</v>
      </c>
      <c r="K1" s="2">
        <v>150</v>
      </c>
      <c r="L1" s="2">
        <v>200</v>
      </c>
      <c r="M1" s="2">
        <v>250</v>
      </c>
      <c r="N1" s="2">
        <v>300</v>
      </c>
      <c r="O1" s="2">
        <v>400</v>
      </c>
      <c r="Q1" s="34" t="s">
        <v>59</v>
      </c>
      <c r="R1" s="32">
        <v>50</v>
      </c>
    </row>
    <row r="2" spans="1:18" x14ac:dyDescent="0.25">
      <c r="A2" s="2">
        <v>0</v>
      </c>
      <c r="B2" s="33">
        <f>TPR($B$1,$A2,dr)</f>
        <v>0.47921826244968474</v>
      </c>
      <c r="C2" s="33">
        <f>TPR($C$1,$A2,dr)</f>
        <v>0.49234208075186292</v>
      </c>
      <c r="D2" s="33">
        <f t="shared" ref="B2:D65" si="0">TPR($D$1,$A2,dr)</f>
        <v>0.4937314585277362</v>
      </c>
      <c r="E2" s="33">
        <f t="shared" ref="E2:E65" si="1">TPR($E$1,$A2,dr)</f>
        <v>0.50298133889722474</v>
      </c>
      <c r="F2" s="33">
        <f t="shared" ref="F2:F65" si="2">TPR($F$1,$A2,dr)</f>
        <v>0.50745520004718192</v>
      </c>
      <c r="G2" s="33">
        <f t="shared" ref="G2:G65" si="3">TPR($G$1,$A2,dr)</f>
        <v>0.51978662634382522</v>
      </c>
      <c r="H2" s="33">
        <f t="shared" ref="H2:H65" si="4">TPR($H$1,$A2,dr)</f>
        <v>0.52129835084693765</v>
      </c>
      <c r="I2" s="33">
        <f t="shared" ref="I2:I65" si="5">TPR($I$1,$A2,dr)</f>
        <v>0.53721456110185994</v>
      </c>
      <c r="J2" s="33">
        <f t="shared" ref="J2:J65" si="6">TPR($J$1,$A2,dr)</f>
        <v>0.5458162188760215</v>
      </c>
      <c r="K2" s="33">
        <f t="shared" ref="K2:K65" si="7">TPR($K$1,$A2,dr)</f>
        <v>0.57080863673028459</v>
      </c>
      <c r="L2" s="33">
        <f t="shared" ref="L2:L65" si="8">TPR($L$1,$A2,dr)</f>
        <v>0.6100304374598966</v>
      </c>
      <c r="M2" s="33">
        <f t="shared" ref="M2:M65" si="9">TPR($M$1,$A2,dr)</f>
        <v>0.64575433445564745</v>
      </c>
      <c r="N2" s="33">
        <f t="shared" ref="N2:N65" si="10">TPR($N$1,$A2,dr)</f>
        <v>0.67485156981309224</v>
      </c>
      <c r="O2" s="33">
        <v>0.71209999999999996</v>
      </c>
    </row>
    <row r="3" spans="1:18" x14ac:dyDescent="0.25">
      <c r="A3" s="2">
        <v>1</v>
      </c>
      <c r="B3" s="33">
        <f>TPR($B$1,$A3,dr)</f>
        <v>0.55831864913731621</v>
      </c>
      <c r="C3" s="33">
        <f>TPR($C$1,$A3,dr)</f>
        <v>0.55548437333946288</v>
      </c>
      <c r="D3" s="33">
        <f t="shared" si="0"/>
        <v>0.55330228432791051</v>
      </c>
      <c r="E3" s="33">
        <f t="shared" si="1"/>
        <v>0.56302014922031429</v>
      </c>
      <c r="F3" s="33">
        <f t="shared" si="2"/>
        <v>0.56721019685435325</v>
      </c>
      <c r="G3" s="33">
        <f t="shared" si="3"/>
        <v>0.57948937097229924</v>
      </c>
      <c r="H3" s="33">
        <f t="shared" si="4"/>
        <v>0.57962383298844211</v>
      </c>
      <c r="I3" s="33">
        <f t="shared" si="5"/>
        <v>0.59609896773688364</v>
      </c>
      <c r="J3" s="33">
        <f t="shared" si="6"/>
        <v>0.59870015538951704</v>
      </c>
      <c r="K3" s="33">
        <f t="shared" si="7"/>
        <v>0.62331593100865557</v>
      </c>
      <c r="L3" s="33">
        <f t="shared" si="8"/>
        <v>0.66081153249206082</v>
      </c>
      <c r="M3" s="33">
        <f t="shared" si="9"/>
        <v>0.69465246038201123</v>
      </c>
      <c r="N3" s="33">
        <f t="shared" si="10"/>
        <v>0.72280704469906454</v>
      </c>
      <c r="O3" s="33">
        <f t="shared" ref="O2:O65" si="11">TPR($O$1,$A3,dr)</f>
        <v>0.75740332878854266</v>
      </c>
    </row>
    <row r="4" spans="1:18" x14ac:dyDescent="0.25">
      <c r="A4" s="2">
        <v>2</v>
      </c>
      <c r="B4" s="33">
        <f>TPR($B$1,$A4,dr)</f>
        <v>0.63773116999698909</v>
      </c>
      <c r="C4" s="33">
        <f>TPR($C$1,$A4,dr)</f>
        <v>0.64788805431567498</v>
      </c>
      <c r="D4" s="33">
        <f t="shared" si="0"/>
        <v>0.6412376781993081</v>
      </c>
      <c r="E4" s="33">
        <f t="shared" si="1"/>
        <v>0.65341880715989042</v>
      </c>
      <c r="F4" s="33">
        <f t="shared" si="2"/>
        <v>0.65607597390065853</v>
      </c>
      <c r="G4" s="33">
        <f t="shared" si="3"/>
        <v>0.66167969289208017</v>
      </c>
      <c r="H4" s="33">
        <f t="shared" si="4"/>
        <v>0.6660687766838771</v>
      </c>
      <c r="I4" s="33">
        <f t="shared" si="5"/>
        <v>0.67974595926003833</v>
      </c>
      <c r="J4" s="33">
        <f t="shared" si="6"/>
        <v>0.67676895238081602</v>
      </c>
      <c r="K4" s="33">
        <f t="shared" si="7"/>
        <v>0.69902510179269406</v>
      </c>
      <c r="L4" s="33">
        <f t="shared" si="8"/>
        <v>0.73240413677773675</v>
      </c>
      <c r="M4" s="33">
        <f t="shared" si="9"/>
        <v>0.76231220188736082</v>
      </c>
      <c r="N4" s="33">
        <f t="shared" si="10"/>
        <v>0.78645387108015374</v>
      </c>
      <c r="O4" s="33">
        <f t="shared" si="11"/>
        <v>0.81629945733493481</v>
      </c>
    </row>
    <row r="5" spans="1:18" x14ac:dyDescent="0.25">
      <c r="A5" s="2">
        <v>3</v>
      </c>
      <c r="B5" s="33">
        <f>TPR($B$1,$A5,dr)</f>
        <v>0.75333245703896445</v>
      </c>
      <c r="C5" s="33">
        <f>TPR($C$1,$A5,dr)</f>
        <v>0.7548457917693272</v>
      </c>
      <c r="D5" s="33">
        <f t="shared" si="0"/>
        <v>0.7441172219157326</v>
      </c>
      <c r="E5" s="33">
        <f t="shared" si="1"/>
        <v>0.75613313367486457</v>
      </c>
      <c r="F5" s="33">
        <f t="shared" si="2"/>
        <v>0.757278198681131</v>
      </c>
      <c r="G5" s="33">
        <f t="shared" si="3"/>
        <v>0.75440279031057134</v>
      </c>
      <c r="H5" s="33">
        <f t="shared" si="4"/>
        <v>0.76376995112753487</v>
      </c>
      <c r="I5" s="33">
        <f t="shared" si="5"/>
        <v>0.77364514595175304</v>
      </c>
      <c r="J5" s="33">
        <f t="shared" si="6"/>
        <v>0.7672237742910254</v>
      </c>
      <c r="K5" s="33">
        <f t="shared" si="7"/>
        <v>0.78516763016587765</v>
      </c>
      <c r="L5" s="33">
        <f t="shared" si="8"/>
        <v>0.81238978678810791</v>
      </c>
      <c r="M5" s="33">
        <f t="shared" si="9"/>
        <v>0.83625029450811716</v>
      </c>
      <c r="N5" s="33">
        <f t="shared" si="10"/>
        <v>0.85489033728255526</v>
      </c>
      <c r="O5" s="33">
        <f t="shared" si="11"/>
        <v>0.87714908659828739</v>
      </c>
    </row>
    <row r="6" spans="1:18" x14ac:dyDescent="0.25">
      <c r="A6" s="2">
        <v>4</v>
      </c>
      <c r="B6" s="33">
        <f>TPR($B$1,$A6,dr)</f>
        <v>0.85141564169359196</v>
      </c>
      <c r="C6" s="33">
        <f>TPR($C$1,$A6,dr)</f>
        <v>0.85095652474760086</v>
      </c>
      <c r="D6" s="33">
        <f t="shared" si="0"/>
        <v>0.83871551880654727</v>
      </c>
      <c r="E6" s="33">
        <f t="shared" si="1"/>
        <v>0.84647532320942009</v>
      </c>
      <c r="F6" s="33">
        <f t="shared" si="2"/>
        <v>0.84612618102586346</v>
      </c>
      <c r="G6" s="33">
        <f t="shared" si="3"/>
        <v>0.839721470501122</v>
      </c>
      <c r="H6" s="33">
        <f t="shared" si="4"/>
        <v>0.84896342280373061</v>
      </c>
      <c r="I6" s="33">
        <f t="shared" si="5"/>
        <v>0.85578500078449915</v>
      </c>
      <c r="J6" s="33">
        <f t="shared" si="6"/>
        <v>0.84867246115098793</v>
      </c>
      <c r="K6" s="33">
        <f t="shared" si="7"/>
        <v>0.86168728982091936</v>
      </c>
      <c r="L6" s="33">
        <f t="shared" si="8"/>
        <v>0.88204285764990409</v>
      </c>
      <c r="M6" s="33">
        <f t="shared" si="9"/>
        <v>0.89987035576356433</v>
      </c>
      <c r="N6" s="33">
        <f t="shared" si="10"/>
        <v>0.91323418481947849</v>
      </c>
      <c r="O6" s="33">
        <f t="shared" si="11"/>
        <v>0.92792610329022218</v>
      </c>
    </row>
    <row r="7" spans="1:18" x14ac:dyDescent="0.25">
      <c r="A7" s="2">
        <v>5</v>
      </c>
      <c r="B7" s="33">
        <f>TPR($B$1,$A7,dr)</f>
        <v>0.93170368512403068</v>
      </c>
      <c r="C7" s="33">
        <f>TPR($C$1,$A7,dr)</f>
        <v>0.92478474003257238</v>
      </c>
      <c r="D7" s="33">
        <f t="shared" si="0"/>
        <v>0.91243230903781203</v>
      </c>
      <c r="E7" s="33">
        <f t="shared" si="1"/>
        <v>0.91582421468908271</v>
      </c>
      <c r="F7" s="33">
        <f t="shared" si="2"/>
        <v>0.91409406588409148</v>
      </c>
      <c r="G7" s="33">
        <f t="shared" si="3"/>
        <v>0.90773268376376781</v>
      </c>
      <c r="H7" s="33">
        <f t="shared" si="4"/>
        <v>0.91368117244251423</v>
      </c>
      <c r="I7" s="33">
        <f t="shared" si="5"/>
        <v>0.91808119083885675</v>
      </c>
      <c r="J7" s="33">
        <f t="shared" si="6"/>
        <v>0.91201567280538731</v>
      </c>
      <c r="K7" s="33">
        <f t="shared" si="7"/>
        <v>0.91997661003896292</v>
      </c>
      <c r="L7" s="33">
        <f t="shared" si="8"/>
        <v>0.93485675500524557</v>
      </c>
      <c r="M7" s="33">
        <f t="shared" si="9"/>
        <v>0.94774210605110287</v>
      </c>
      <c r="N7" s="33">
        <f t="shared" si="10"/>
        <v>0.95690786277183182</v>
      </c>
      <c r="O7" s="33">
        <f t="shared" si="11"/>
        <v>0.96552855186402375</v>
      </c>
    </row>
    <row r="8" spans="1:18" x14ac:dyDescent="0.25">
      <c r="A8" s="2">
        <v>6</v>
      </c>
      <c r="B8" s="33">
        <f>TPR($B$1,$A8,dr)</f>
        <v>0.98925981908453675</v>
      </c>
      <c r="C8" s="33">
        <f>TPR($C$1,$A8,dr)</f>
        <v>0.98035907149758816</v>
      </c>
      <c r="D8" s="33">
        <f t="shared" si="0"/>
        <v>0.96748455162227653</v>
      </c>
      <c r="E8" s="33">
        <f t="shared" si="1"/>
        <v>0.96762791982559415</v>
      </c>
      <c r="F8" s="33">
        <f t="shared" si="2"/>
        <v>0.96537225928632187</v>
      </c>
      <c r="G8" s="33">
        <f t="shared" si="3"/>
        <v>0.9589559592606286</v>
      </c>
      <c r="H8" s="33">
        <f t="shared" si="4"/>
        <v>0.96221158897847625</v>
      </c>
      <c r="I8" s="33">
        <f t="shared" si="5"/>
        <v>0.96448248288373717</v>
      </c>
      <c r="J8" s="33">
        <f t="shared" si="6"/>
        <v>0.95920959912322434</v>
      </c>
      <c r="K8" s="33">
        <f t="shared" si="7"/>
        <v>0.96317262645694812</v>
      </c>
      <c r="L8" s="33">
        <f t="shared" si="8"/>
        <v>0.97387713177105539</v>
      </c>
      <c r="M8" s="33">
        <f t="shared" si="9"/>
        <v>0.98239535781792742</v>
      </c>
      <c r="N8" s="33">
        <f t="shared" si="10"/>
        <v>0.98841937119747436</v>
      </c>
      <c r="O8" s="33">
        <f t="shared" si="11"/>
        <v>0.99266535152518853</v>
      </c>
    </row>
    <row r="9" spans="1:18" x14ac:dyDescent="0.25">
      <c r="A9" s="2">
        <v>7</v>
      </c>
      <c r="B9" s="33">
        <f>TPR($B$1,$A9,dr)</f>
        <v>1.0335868638854626</v>
      </c>
      <c r="C9" s="33">
        <f>TPR($C$1,$A9,dr)</f>
        <v>1.0229978090136582</v>
      </c>
      <c r="D9" s="33">
        <f t="shared" si="0"/>
        <v>1.0098244432131096</v>
      </c>
      <c r="E9" s="33">
        <f t="shared" si="1"/>
        <v>1.0073693948981031</v>
      </c>
      <c r="F9" s="33">
        <f t="shared" si="2"/>
        <v>1.0042484775859333</v>
      </c>
      <c r="G9" s="33">
        <f t="shared" si="3"/>
        <v>0.99782725583368359</v>
      </c>
      <c r="H9" s="33">
        <f t="shared" si="4"/>
        <v>0.99897285725646179</v>
      </c>
      <c r="I9" s="33">
        <f t="shared" si="5"/>
        <v>0.9993914928517833</v>
      </c>
      <c r="J9" s="33">
        <f t="shared" si="6"/>
        <v>0.99443784989737871</v>
      </c>
      <c r="K9" s="33">
        <f t="shared" si="7"/>
        <v>0.99551258228071948</v>
      </c>
      <c r="L9" s="33">
        <f t="shared" si="8"/>
        <v>1.0026153782960963</v>
      </c>
      <c r="M9" s="33">
        <f t="shared" si="9"/>
        <v>1.0078263876178413</v>
      </c>
      <c r="N9" s="33">
        <f t="shared" si="10"/>
        <v>1.0109606620808766</v>
      </c>
      <c r="O9" s="33">
        <f t="shared" si="11"/>
        <v>1.0125882687680479</v>
      </c>
    </row>
    <row r="10" spans="1:18" x14ac:dyDescent="0.25">
      <c r="A10" s="2">
        <v>8</v>
      </c>
      <c r="B10" s="33">
        <f>TPR($B$1,$A10,dr)</f>
        <v>1.0674368604792679</v>
      </c>
      <c r="C10" s="33">
        <f>TPR($C$1,$A10,dr)</f>
        <v>1.054978722729681</v>
      </c>
      <c r="D10" s="33">
        <f t="shared" si="0"/>
        <v>1.0421268993756292</v>
      </c>
      <c r="E10" s="33">
        <f t="shared" si="1"/>
        <v>1.0376072085054007</v>
      </c>
      <c r="F10" s="33">
        <f t="shared" si="2"/>
        <v>1.0331684163650461</v>
      </c>
      <c r="G10" s="33">
        <f t="shared" si="3"/>
        <v>1.0271745450582981</v>
      </c>
      <c r="H10" s="33">
        <f t="shared" si="4"/>
        <v>1.0268994415527506</v>
      </c>
      <c r="I10" s="33">
        <f t="shared" si="5"/>
        <v>1.0255366251861038</v>
      </c>
      <c r="J10" s="33">
        <f t="shared" si="6"/>
        <v>1.0203148113201035</v>
      </c>
      <c r="K10" s="33">
        <f t="shared" si="7"/>
        <v>1.0195707266701437</v>
      </c>
      <c r="L10" s="33">
        <f t="shared" si="8"/>
        <v>1.0238521911514773</v>
      </c>
      <c r="M10" s="33">
        <f t="shared" si="9"/>
        <v>1.0262023943393361</v>
      </c>
      <c r="N10" s="33">
        <f t="shared" si="10"/>
        <v>1.0272791842654858</v>
      </c>
      <c r="O10" s="33">
        <f t="shared" si="11"/>
        <v>1.026941477465465</v>
      </c>
    </row>
    <row r="11" spans="1:18" x14ac:dyDescent="0.25">
      <c r="A11" s="2">
        <v>9</v>
      </c>
      <c r="B11" s="33">
        <f>TPR($B$1,$A11,dr)</f>
        <v>1.0926761889738115</v>
      </c>
      <c r="C11" s="33">
        <f>TPR($C$1,$A11,dr)</f>
        <v>1.0791239828209498</v>
      </c>
      <c r="D11" s="33">
        <f t="shared" si="0"/>
        <v>1.0662458144276661</v>
      </c>
      <c r="E11" s="33">
        <f t="shared" si="1"/>
        <v>1.0606732590492034</v>
      </c>
      <c r="F11" s="33">
        <f t="shared" si="2"/>
        <v>1.0550016789330696</v>
      </c>
      <c r="G11" s="33">
        <f t="shared" si="3"/>
        <v>1.0494564296159861</v>
      </c>
      <c r="H11" s="33">
        <f t="shared" si="4"/>
        <v>1.0480104828374144</v>
      </c>
      <c r="I11" s="33">
        <f t="shared" si="5"/>
        <v>1.0450124535244809</v>
      </c>
      <c r="J11" s="33">
        <f t="shared" si="6"/>
        <v>1.0395451015095478</v>
      </c>
      <c r="K11" s="33">
        <f t="shared" si="7"/>
        <v>1.0376416590588931</v>
      </c>
      <c r="L11" s="33">
        <f t="shared" si="8"/>
        <v>1.0393541381132338</v>
      </c>
      <c r="M11" s="33">
        <f t="shared" si="9"/>
        <v>1.0394715782346913</v>
      </c>
      <c r="N11" s="33">
        <f t="shared" si="10"/>
        <v>1.0391224891376836</v>
      </c>
      <c r="O11" s="33">
        <f t="shared" si="11"/>
        <v>1.0369593420405188</v>
      </c>
    </row>
    <row r="12" spans="1:18" x14ac:dyDescent="0.25">
      <c r="A12" s="2">
        <v>10</v>
      </c>
      <c r="B12" s="33">
        <f>TPR($B$1,$A12,dr)</f>
        <v>1.1108452133303772</v>
      </c>
      <c r="C12" s="33">
        <f>TPR($C$1,$A12,dr)</f>
        <v>1.0971683772868941</v>
      </c>
      <c r="D12" s="33">
        <f t="shared" si="0"/>
        <v>1.0841284410198777</v>
      </c>
      <c r="E12" s="33">
        <f t="shared" si="1"/>
        <v>1.0779700481622929</v>
      </c>
      <c r="F12" s="33">
        <f t="shared" si="2"/>
        <v>1.0714372236271952</v>
      </c>
      <c r="G12" s="33">
        <f t="shared" si="3"/>
        <v>1.065865221524799</v>
      </c>
      <c r="H12" s="33">
        <f t="shared" si="4"/>
        <v>1.063752625956047</v>
      </c>
      <c r="I12" s="33">
        <f t="shared" si="5"/>
        <v>1.0595940952415046</v>
      </c>
      <c r="J12" s="33">
        <f t="shared" si="6"/>
        <v>1.0538117080158242</v>
      </c>
      <c r="K12" s="33">
        <f t="shared" si="7"/>
        <v>1.0507780698528304</v>
      </c>
      <c r="L12" s="33">
        <f t="shared" si="8"/>
        <v>1.0504519922767523</v>
      </c>
      <c r="M12" s="33">
        <f t="shared" si="9"/>
        <v>1.049170398977511</v>
      </c>
      <c r="N12" s="33">
        <f t="shared" si="10"/>
        <v>1.0478354725650745</v>
      </c>
      <c r="O12" s="33">
        <f t="shared" si="11"/>
        <v>1.0443814510846965</v>
      </c>
    </row>
    <row r="13" spans="1:18" x14ac:dyDescent="0.25">
      <c r="A13" s="2">
        <v>11</v>
      </c>
      <c r="B13" s="33">
        <f>TPR($B$1,$A13,dr)</f>
        <v>1.1242943072806448</v>
      </c>
      <c r="C13" s="33">
        <f>TPR($C$1,$A13,dr)</f>
        <v>1.1097967324354538</v>
      </c>
      <c r="D13" s="33">
        <f t="shared" si="0"/>
        <v>1.0972598190994163</v>
      </c>
      <c r="E13" s="33">
        <f t="shared" si="1"/>
        <v>1.0906893551355406</v>
      </c>
      <c r="F13" s="33">
        <f t="shared" si="2"/>
        <v>1.0837455502324342</v>
      </c>
      <c r="G13" s="33">
        <f t="shared" si="3"/>
        <v>1.0778866648407919</v>
      </c>
      <c r="H13" s="33">
        <f t="shared" si="4"/>
        <v>1.0753046737895429</v>
      </c>
      <c r="I13" s="33">
        <f t="shared" si="5"/>
        <v>1.0700256306546743</v>
      </c>
      <c r="J13" s="33">
        <f t="shared" si="6"/>
        <v>1.0642411405486447</v>
      </c>
      <c r="K13" s="33">
        <f t="shared" si="7"/>
        <v>1.0603275532265666</v>
      </c>
      <c r="L13" s="33">
        <f t="shared" si="8"/>
        <v>1.0578856850768819</v>
      </c>
      <c r="M13" s="33">
        <f t="shared" si="9"/>
        <v>1.0560070708996818</v>
      </c>
      <c r="N13" s="33">
        <f t="shared" si="10"/>
        <v>1.0538351745745775</v>
      </c>
      <c r="O13" s="33">
        <f t="shared" si="11"/>
        <v>1.0495060580649769</v>
      </c>
    </row>
    <row r="14" spans="1:18" x14ac:dyDescent="0.25">
      <c r="A14" s="2">
        <v>12</v>
      </c>
      <c r="B14" s="33">
        <f>TPR($B$1,$A14,dr)</f>
        <v>1.134022706471792</v>
      </c>
      <c r="C14" s="33">
        <f>TPR($C$1,$A14,dr)</f>
        <v>1.1187570544999792</v>
      </c>
      <c r="D14" s="33">
        <f t="shared" si="0"/>
        <v>1.107069553898739</v>
      </c>
      <c r="E14" s="33">
        <f t="shared" si="1"/>
        <v>1.0997202338754197</v>
      </c>
      <c r="F14" s="33">
        <f t="shared" si="2"/>
        <v>1.092569117468702</v>
      </c>
      <c r="G14" s="33">
        <f t="shared" si="3"/>
        <v>1.086557336548279</v>
      </c>
      <c r="H14" s="33">
        <f t="shared" si="4"/>
        <v>1.0836267162395059</v>
      </c>
      <c r="I14" s="33">
        <f t="shared" si="5"/>
        <v>1.0774599145528692</v>
      </c>
      <c r="J14" s="33">
        <f t="shared" si="6"/>
        <v>1.0718893733587893</v>
      </c>
      <c r="K14" s="33">
        <f t="shared" si="7"/>
        <v>1.0668325468396476</v>
      </c>
      <c r="L14" s="33">
        <f t="shared" si="8"/>
        <v>1.063182582252572</v>
      </c>
      <c r="M14" s="33">
        <f t="shared" si="9"/>
        <v>1.0608457762685128</v>
      </c>
      <c r="N14" s="33">
        <f t="shared" si="10"/>
        <v>1.0576552935624577</v>
      </c>
      <c r="O14" s="33">
        <f t="shared" si="11"/>
        <v>1.0529414411748492</v>
      </c>
    </row>
    <row r="15" spans="1:18" x14ac:dyDescent="0.25">
      <c r="A15" s="2">
        <v>13</v>
      </c>
      <c r="B15" s="33">
        <f>TPR($B$1,$A15,dr)</f>
        <v>1.1404657599737216</v>
      </c>
      <c r="C15" s="33">
        <f>TPR($C$1,$A15,dr)</f>
        <v>1.125563367563823</v>
      </c>
      <c r="D15" s="33">
        <f t="shared" si="0"/>
        <v>1.1142503497307832</v>
      </c>
      <c r="E15" s="33">
        <f t="shared" si="1"/>
        <v>1.1060236239021994</v>
      </c>
      <c r="F15" s="33">
        <f t="shared" si="2"/>
        <v>1.0985692085367063</v>
      </c>
      <c r="G15" s="33">
        <f t="shared" si="3"/>
        <v>1.092412106580394</v>
      </c>
      <c r="H15" s="33">
        <f t="shared" si="4"/>
        <v>1.0892424473392872</v>
      </c>
      <c r="I15" s="33">
        <f t="shared" si="5"/>
        <v>1.0826210475729388</v>
      </c>
      <c r="J15" s="33">
        <f t="shared" si="6"/>
        <v>1.0772922221197903</v>
      </c>
      <c r="K15" s="33">
        <f t="shared" si="7"/>
        <v>1.071317569515041</v>
      </c>
      <c r="L15" s="33">
        <f t="shared" si="8"/>
        <v>1.0669812918261632</v>
      </c>
      <c r="M15" s="33">
        <f t="shared" si="9"/>
        <v>1.063813698065059</v>
      </c>
      <c r="N15" s="33">
        <f t="shared" si="10"/>
        <v>1.0599798198235679</v>
      </c>
      <c r="O15" s="33">
        <f t="shared" si="11"/>
        <v>1.0548094448206404</v>
      </c>
    </row>
    <row r="16" spans="1:18" x14ac:dyDescent="0.25">
      <c r="A16" s="2">
        <v>14</v>
      </c>
      <c r="B16" s="33">
        <f>TPR($B$1,$A16,dr)</f>
        <v>1.145437690969189</v>
      </c>
      <c r="C16" s="33">
        <f>TPR($C$1,$A16,dr)</f>
        <v>1.1298344655164609</v>
      </c>
      <c r="D16" s="33">
        <f t="shared" si="0"/>
        <v>1.1189800115249096</v>
      </c>
      <c r="E16" s="33">
        <f t="shared" si="1"/>
        <v>1.1102207249189586</v>
      </c>
      <c r="F16" s="33">
        <f t="shared" si="2"/>
        <v>1.1024938662206614</v>
      </c>
      <c r="G16" s="33">
        <f t="shared" si="3"/>
        <v>1.0962018282975552</v>
      </c>
      <c r="H16" s="33">
        <f t="shared" si="4"/>
        <v>1.0926066950744535</v>
      </c>
      <c r="I16" s="33">
        <f t="shared" si="5"/>
        <v>1.0861260291599706</v>
      </c>
      <c r="J16" s="33">
        <f t="shared" si="6"/>
        <v>1.0807876185043812</v>
      </c>
      <c r="K16" s="33">
        <f t="shared" si="7"/>
        <v>1.0739898554765579</v>
      </c>
      <c r="L16" s="33">
        <f t="shared" si="8"/>
        <v>1.0692785811036838</v>
      </c>
      <c r="M16" s="33">
        <f t="shared" si="9"/>
        <v>1.0654022682098505</v>
      </c>
      <c r="N16" s="33">
        <f t="shared" si="10"/>
        <v>1.0613235975382982</v>
      </c>
      <c r="O16" s="33">
        <f t="shared" si="11"/>
        <v>1.0559303052253597</v>
      </c>
    </row>
    <row r="17" spans="1:21" x14ac:dyDescent="0.25">
      <c r="A17" s="2">
        <v>15</v>
      </c>
      <c r="B17" s="33">
        <f>TPR($B$1,$A17,dr)</f>
        <v>1.1476665539653044</v>
      </c>
      <c r="C17" s="33">
        <f>TPR($C$1,$A17,dr)</f>
        <v>1.1322676119664725</v>
      </c>
      <c r="D17" s="33">
        <f t="shared" si="0"/>
        <v>1.1213947194177745</v>
      </c>
      <c r="E17" s="33">
        <f t="shared" si="1"/>
        <v>1.1125085604590987</v>
      </c>
      <c r="F17" s="33">
        <f t="shared" si="2"/>
        <v>1.1046525286299873</v>
      </c>
      <c r="G17" s="33">
        <f t="shared" si="3"/>
        <v>1.0981454006287203</v>
      </c>
      <c r="H17" s="33">
        <f t="shared" si="4"/>
        <v>1.0946061113759906</v>
      </c>
      <c r="I17" s="33">
        <f t="shared" si="5"/>
        <v>1.0879271912777704</v>
      </c>
      <c r="J17" s="33">
        <f t="shared" si="6"/>
        <v>1.0824591752064696</v>
      </c>
      <c r="K17" s="33">
        <f t="shared" si="7"/>
        <v>1.075542895764559</v>
      </c>
      <c r="L17" s="33">
        <f t="shared" si="8"/>
        <v>1.0700054395598932</v>
      </c>
      <c r="M17" s="33">
        <f t="shared" si="9"/>
        <v>1.0656928474634233</v>
      </c>
      <c r="N17" s="33">
        <f t="shared" si="10"/>
        <v>1.0619738300127151</v>
      </c>
      <c r="O17" s="33">
        <f t="shared" si="11"/>
        <v>1.0564156089131118</v>
      </c>
    </row>
    <row r="18" spans="1:21" x14ac:dyDescent="0.25">
      <c r="A18" s="2">
        <v>16</v>
      </c>
      <c r="B18" s="33">
        <f>TPR($B$1,$A18,dr)</f>
        <v>1.1478264942159602</v>
      </c>
      <c r="C18" s="33">
        <f>TPR($C$1,$A18,dr)</f>
        <v>1.1334167384944809</v>
      </c>
      <c r="D18" s="33">
        <f t="shared" si="0"/>
        <v>1.1217334351618216</v>
      </c>
      <c r="E18" s="33">
        <f t="shared" si="1"/>
        <v>1.1130924024227802</v>
      </c>
      <c r="F18" s="33">
        <f t="shared" si="2"/>
        <v>1.1057555101656789</v>
      </c>
      <c r="G18" s="33">
        <f t="shared" si="3"/>
        <v>1.098906772513091</v>
      </c>
      <c r="H18" s="33">
        <f t="shared" si="4"/>
        <v>1.09568636318667</v>
      </c>
      <c r="I18" s="33">
        <f t="shared" si="5"/>
        <v>1.0884571054301331</v>
      </c>
      <c r="J18" s="33">
        <f t="shared" si="6"/>
        <v>1.0828303934568477</v>
      </c>
      <c r="K18" s="33">
        <f t="shared" si="7"/>
        <v>1.0762996485521186</v>
      </c>
      <c r="L18" s="33">
        <f t="shared" si="8"/>
        <v>1.069782935665869</v>
      </c>
      <c r="M18" s="33">
        <f t="shared" si="9"/>
        <v>1.0652166834467613</v>
      </c>
      <c r="N18" s="33">
        <f t="shared" si="10"/>
        <v>1.0616759724657183</v>
      </c>
      <c r="O18" s="33">
        <f t="shared" si="11"/>
        <v>1.056042690664893</v>
      </c>
    </row>
    <row r="19" spans="1:21" x14ac:dyDescent="0.25">
      <c r="A19" s="2">
        <v>17</v>
      </c>
      <c r="B19" s="33">
        <f>TPR($B$1,$A19,dr)</f>
        <v>1.1462511830901128</v>
      </c>
      <c r="C19" s="33">
        <f>TPR($C$1,$A19,dr)</f>
        <v>1.1331764721719157</v>
      </c>
      <c r="D19" s="33">
        <f t="shared" si="0"/>
        <v>1.1210378424567971</v>
      </c>
      <c r="E19" s="33">
        <f t="shared" si="1"/>
        <v>1.1125610661094121</v>
      </c>
      <c r="F19" s="33">
        <f t="shared" si="2"/>
        <v>1.1057408703301461</v>
      </c>
      <c r="G19" s="33">
        <f t="shared" si="3"/>
        <v>1.09886011456568</v>
      </c>
      <c r="H19" s="33">
        <f t="shared" si="4"/>
        <v>1.0957028141900182</v>
      </c>
      <c r="I19" s="33">
        <f t="shared" si="5"/>
        <v>1.0884974473520352</v>
      </c>
      <c r="J19" s="33">
        <f t="shared" si="6"/>
        <v>1.0825677769856183</v>
      </c>
      <c r="K19" s="33">
        <f t="shared" si="7"/>
        <v>1.0759057530633598</v>
      </c>
      <c r="L19" s="33">
        <f t="shared" si="8"/>
        <v>1.0691816187219434</v>
      </c>
      <c r="M19" s="33">
        <f t="shared" si="9"/>
        <v>1.0646095507829823</v>
      </c>
      <c r="N19" s="33">
        <f t="shared" si="10"/>
        <v>1.0608770585762981</v>
      </c>
      <c r="O19" s="33">
        <f t="shared" si="11"/>
        <v>1.0555283425796413</v>
      </c>
    </row>
    <row r="20" spans="1:21" x14ac:dyDescent="0.25">
      <c r="A20" s="2">
        <v>18</v>
      </c>
      <c r="B20" s="33">
        <f>TPR($B$1,$A20,dr)</f>
        <v>1.1439700516260736</v>
      </c>
      <c r="C20" s="33">
        <f>TPR($C$1,$A20,dr)</f>
        <v>1.1319137214232744</v>
      </c>
      <c r="D20" s="33">
        <f t="shared" si="0"/>
        <v>1.1197413499508011</v>
      </c>
      <c r="E20" s="33">
        <f t="shared" si="1"/>
        <v>1.1114594696266575</v>
      </c>
      <c r="F20" s="33">
        <f t="shared" si="2"/>
        <v>1.1044623840561671</v>
      </c>
      <c r="G20" s="33">
        <f t="shared" si="3"/>
        <v>1.0981602691172638</v>
      </c>
      <c r="H20" s="33">
        <f t="shared" si="4"/>
        <v>1.0944990353609003</v>
      </c>
      <c r="I20" s="33">
        <f t="shared" si="5"/>
        <v>1.0877171196461854</v>
      </c>
      <c r="J20" s="33">
        <f t="shared" si="6"/>
        <v>1.0816367816181105</v>
      </c>
      <c r="K20" s="33">
        <f t="shared" si="7"/>
        <v>1.0746584534599408</v>
      </c>
      <c r="L20" s="33">
        <f t="shared" si="8"/>
        <v>1.0681120075211141</v>
      </c>
      <c r="M20" s="33">
        <f t="shared" si="9"/>
        <v>1.0637601659676206</v>
      </c>
      <c r="N20" s="33">
        <f t="shared" si="10"/>
        <v>1.0600487826373699</v>
      </c>
      <c r="O20" s="33">
        <f t="shared" si="11"/>
        <v>1.0551025241242835</v>
      </c>
    </row>
    <row r="21" spans="1:21" x14ac:dyDescent="0.25">
      <c r="A21" s="2">
        <v>19</v>
      </c>
      <c r="B21" s="33">
        <f>TPR($B$1,$A21,dr)</f>
        <v>1.1414419605114974</v>
      </c>
      <c r="C21" s="33">
        <f>TPR($C$1,$A21,dr)</f>
        <v>1.130082072380806</v>
      </c>
      <c r="D21" s="33">
        <f t="shared" si="0"/>
        <v>1.1178689610604757</v>
      </c>
      <c r="E21" s="33">
        <f t="shared" si="1"/>
        <v>1.1098860214719679</v>
      </c>
      <c r="F21" s="33">
        <f t="shared" si="2"/>
        <v>1.1026309597398312</v>
      </c>
      <c r="G21" s="33">
        <f t="shared" si="3"/>
        <v>1.0968889096293046</v>
      </c>
      <c r="H21" s="33">
        <f t="shared" si="4"/>
        <v>1.0926491005280932</v>
      </c>
      <c r="I21" s="33">
        <f t="shared" si="5"/>
        <v>1.0862642561786957</v>
      </c>
      <c r="J21" s="33">
        <f t="shared" si="6"/>
        <v>1.0802377064456739</v>
      </c>
      <c r="K21" s="33">
        <f t="shared" si="7"/>
        <v>1.0731663023214049</v>
      </c>
      <c r="L21" s="33">
        <f t="shared" si="8"/>
        <v>1.066914575869617</v>
      </c>
      <c r="M21" s="33">
        <f t="shared" si="9"/>
        <v>1.0625965474710821</v>
      </c>
      <c r="N21" s="33">
        <f t="shared" si="10"/>
        <v>1.0588894895401522</v>
      </c>
      <c r="O21" s="33">
        <f t="shared" si="11"/>
        <v>1.0544443011712892</v>
      </c>
    </row>
    <row r="22" spans="1:21" x14ac:dyDescent="0.25">
      <c r="A22" s="2">
        <v>20</v>
      </c>
      <c r="B22" s="33">
        <f>TPR($B$1,$A22,dr)</f>
        <v>1.1385495611715579</v>
      </c>
      <c r="C22" s="33">
        <f>TPR($C$1,$A22,dr)</f>
        <v>1.127566867180757</v>
      </c>
      <c r="D22" s="33">
        <f t="shared" si="0"/>
        <v>1.1154084730519678</v>
      </c>
      <c r="E22" s="33">
        <f t="shared" si="1"/>
        <v>1.1077350415187044</v>
      </c>
      <c r="F22" s="33">
        <f t="shared" si="2"/>
        <v>1.100429102177416</v>
      </c>
      <c r="G22" s="33">
        <f t="shared" si="3"/>
        <v>1.0949775141512392</v>
      </c>
      <c r="H22" s="33">
        <f t="shared" si="4"/>
        <v>1.0904141072948705</v>
      </c>
      <c r="I22" s="33">
        <f t="shared" si="5"/>
        <v>1.0842664472827401</v>
      </c>
      <c r="J22" s="33">
        <f t="shared" si="6"/>
        <v>1.0785699014959604</v>
      </c>
      <c r="K22" s="33">
        <f t="shared" si="7"/>
        <v>1.0715441049364016</v>
      </c>
      <c r="L22" s="33">
        <f t="shared" si="8"/>
        <v>1.0655958678506798</v>
      </c>
      <c r="M22" s="33">
        <f t="shared" si="9"/>
        <v>1.0613145754028028</v>
      </c>
      <c r="N22" s="33">
        <f t="shared" si="10"/>
        <v>1.0574225745932861</v>
      </c>
      <c r="O22" s="33">
        <f t="shared" si="11"/>
        <v>1.0532554176035009</v>
      </c>
    </row>
    <row r="23" spans="1:21" x14ac:dyDescent="0.25">
      <c r="A23" s="2">
        <v>21</v>
      </c>
      <c r="B23" s="33">
        <f>TPR($B$1,$A23,dr)</f>
        <v>1.1351745960834219</v>
      </c>
      <c r="C23" s="33">
        <f>TPR($C$1,$A23,dr)</f>
        <v>1.1242525610622183</v>
      </c>
      <c r="D23" s="33">
        <f t="shared" si="0"/>
        <v>1.1124500297573934</v>
      </c>
      <c r="E23" s="33">
        <f t="shared" si="1"/>
        <v>1.1050148047562052</v>
      </c>
      <c r="F23" s="33">
        <f t="shared" si="2"/>
        <v>1.0978508360416246</v>
      </c>
      <c r="G23" s="33">
        <f t="shared" si="3"/>
        <v>1.0926194367150983</v>
      </c>
      <c r="H23" s="33">
        <f t="shared" si="4"/>
        <v>1.088283320757123</v>
      </c>
      <c r="I23" s="33">
        <f t="shared" si="5"/>
        <v>1.0820767332695937</v>
      </c>
      <c r="J23" s="33">
        <f t="shared" si="6"/>
        <v>1.0765707102469357</v>
      </c>
      <c r="K23" s="33">
        <f t="shared" si="7"/>
        <v>1.0697783910143219</v>
      </c>
      <c r="L23" s="33">
        <f t="shared" si="8"/>
        <v>1.0640557400800537</v>
      </c>
      <c r="M23" s="33">
        <f t="shared" si="9"/>
        <v>1.0596116602657388</v>
      </c>
      <c r="N23" s="33">
        <f t="shared" si="10"/>
        <v>1.0557989356624924</v>
      </c>
      <c r="O23" s="33">
        <f t="shared" si="11"/>
        <v>1.0517496341879975</v>
      </c>
      <c r="Q23" t="s">
        <v>60</v>
      </c>
    </row>
    <row r="24" spans="1:21" x14ac:dyDescent="0.25">
      <c r="A24" s="2">
        <v>22</v>
      </c>
      <c r="B24" s="33">
        <f>TPR($B$1,$A24,dr)</f>
        <v>1.1311978965650278</v>
      </c>
      <c r="C24" s="33">
        <f>TPR($C$1,$A24,dr)</f>
        <v>1.1202375064931462</v>
      </c>
      <c r="D24" s="33">
        <f t="shared" si="0"/>
        <v>1.1091005943595516</v>
      </c>
      <c r="E24" s="33">
        <f t="shared" si="1"/>
        <v>1.1025411691239542</v>
      </c>
      <c r="F24" s="33">
        <f t="shared" si="2"/>
        <v>1.0951034355474258</v>
      </c>
      <c r="G24" s="33">
        <f t="shared" si="3"/>
        <v>1.0902094909923949</v>
      </c>
      <c r="H24" s="33">
        <f t="shared" si="4"/>
        <v>1.0861347937729771</v>
      </c>
      <c r="I24" s="33">
        <f t="shared" si="5"/>
        <v>1.0797751094331587</v>
      </c>
      <c r="J24" s="33">
        <f t="shared" si="6"/>
        <v>1.0744455197360743</v>
      </c>
      <c r="K24" s="33">
        <f t="shared" si="7"/>
        <v>1.0679860759727551</v>
      </c>
      <c r="L24" s="33">
        <f t="shared" si="8"/>
        <v>1.0622043005173381</v>
      </c>
      <c r="M24" s="33">
        <f t="shared" si="9"/>
        <v>1.057670088203317</v>
      </c>
      <c r="N24" s="33">
        <f t="shared" si="10"/>
        <v>1.0541339415036077</v>
      </c>
      <c r="O24" s="33">
        <f t="shared" si="11"/>
        <v>1.0501331304868911</v>
      </c>
    </row>
    <row r="25" spans="1:21" x14ac:dyDescent="0.25">
      <c r="A25" s="2">
        <v>23</v>
      </c>
      <c r="B25" s="33">
        <f>TPR($B$1,$A25,dr)</f>
        <v>1.1268493154820547</v>
      </c>
      <c r="C25" s="33">
        <f>TPR($C$1,$A25,dr)</f>
        <v>1.1160705627592153</v>
      </c>
      <c r="D25" s="33">
        <f t="shared" si="0"/>
        <v>1.1058200678767047</v>
      </c>
      <c r="E25" s="33">
        <f t="shared" si="1"/>
        <v>1.0999554570726495</v>
      </c>
      <c r="F25" s="33">
        <f t="shared" si="2"/>
        <v>1.0923292493696029</v>
      </c>
      <c r="G25" s="33">
        <f t="shared" si="3"/>
        <v>1.0876840691393368</v>
      </c>
      <c r="H25" s="33">
        <f t="shared" si="4"/>
        <v>1.0837661120443127</v>
      </c>
      <c r="I25" s="33">
        <f t="shared" si="5"/>
        <v>1.0773377202572436</v>
      </c>
      <c r="J25" s="33">
        <f t="shared" si="6"/>
        <v>1.0723839400894846</v>
      </c>
      <c r="K25" s="33">
        <f t="shared" si="7"/>
        <v>1.0660930507218664</v>
      </c>
      <c r="L25" s="33">
        <f t="shared" si="8"/>
        <v>1.0603308984802733</v>
      </c>
      <c r="M25" s="33">
        <f t="shared" si="9"/>
        <v>1.0558123943066848</v>
      </c>
      <c r="N25" s="33">
        <f t="shared" si="10"/>
        <v>1.0525609427475544</v>
      </c>
      <c r="O25" s="33">
        <f t="shared" si="11"/>
        <v>1.0486120371023895</v>
      </c>
      <c r="Q25" t="s">
        <v>42</v>
      </c>
      <c r="R25">
        <v>399</v>
      </c>
      <c r="T25" t="s">
        <v>71</v>
      </c>
    </row>
    <row r="26" spans="1:21" x14ac:dyDescent="0.25">
      <c r="A26" s="2">
        <v>24</v>
      </c>
      <c r="B26" s="33">
        <f>TPR($B$1,$A26,dr)</f>
        <v>1.1222436447527966</v>
      </c>
      <c r="C26" s="33">
        <f>TPR($C$1,$A26,dr)</f>
        <v>1.111649908529599</v>
      </c>
      <c r="D26" s="33">
        <f t="shared" si="0"/>
        <v>1.1025956317244234</v>
      </c>
      <c r="E26" s="33">
        <f t="shared" si="1"/>
        <v>1.0967604747940587</v>
      </c>
      <c r="F26" s="33">
        <f t="shared" si="2"/>
        <v>1.089543804605605</v>
      </c>
      <c r="G26" s="33">
        <f t="shared" si="3"/>
        <v>1.0849697130922888</v>
      </c>
      <c r="H26" s="33">
        <f t="shared" si="4"/>
        <v>1.0808861906582308</v>
      </c>
      <c r="I26" s="33">
        <f t="shared" si="5"/>
        <v>1.075016616851721</v>
      </c>
      <c r="J26" s="33">
        <f t="shared" si="6"/>
        <v>1.0702397281715896</v>
      </c>
      <c r="K26" s="33">
        <f t="shared" si="7"/>
        <v>1.0639795905276994</v>
      </c>
      <c r="L26" s="33">
        <f t="shared" si="8"/>
        <v>1.0585228046418222</v>
      </c>
      <c r="M26" s="33">
        <f t="shared" si="9"/>
        <v>1.0541462453466901</v>
      </c>
      <c r="N26" s="33">
        <f t="shared" si="10"/>
        <v>1.0510957640422187</v>
      </c>
      <c r="O26" s="33">
        <f t="shared" si="11"/>
        <v>1.0469915901984004</v>
      </c>
      <c r="Q26" t="s">
        <v>61</v>
      </c>
      <c r="R26">
        <v>0</v>
      </c>
    </row>
    <row r="27" spans="1:21" x14ac:dyDescent="0.25">
      <c r="A27" s="2">
        <v>25</v>
      </c>
      <c r="B27" s="33">
        <f>TPR($B$1,$A27,dr)</f>
        <v>1.1177307814835535</v>
      </c>
      <c r="C27" s="33">
        <f>TPR($C$1,$A27,dr)</f>
        <v>1.1073205999230733</v>
      </c>
      <c r="D27" s="33">
        <f t="shared" si="0"/>
        <v>1.0992508061781034</v>
      </c>
      <c r="E27" s="33">
        <f t="shared" si="1"/>
        <v>1.0930360748005663</v>
      </c>
      <c r="F27" s="33">
        <f t="shared" si="2"/>
        <v>1.0865577304487621</v>
      </c>
      <c r="G27" s="33">
        <f t="shared" si="3"/>
        <v>1.082033882323028</v>
      </c>
      <c r="H27" s="33">
        <f t="shared" si="4"/>
        <v>1.0780388330130184</v>
      </c>
      <c r="I27" s="33">
        <f t="shared" si="5"/>
        <v>1.0727851939915021</v>
      </c>
      <c r="J27" s="33">
        <f t="shared" si="6"/>
        <v>1.0679077638053558</v>
      </c>
      <c r="K27" s="33">
        <f t="shared" si="7"/>
        <v>1.0617290150658443</v>
      </c>
      <c r="L27" s="33">
        <f t="shared" si="8"/>
        <v>1.0564915897814386</v>
      </c>
      <c r="M27" s="33">
        <f t="shared" si="9"/>
        <v>1.0524401741354572</v>
      </c>
      <c r="N27" s="33">
        <f t="shared" si="10"/>
        <v>1.0496165570684388</v>
      </c>
      <c r="O27" s="33">
        <f t="shared" si="11"/>
        <v>1.0455555773447667</v>
      </c>
      <c r="Q27" t="s">
        <v>62</v>
      </c>
      <c r="R27">
        <f>TPR(R25,R26,dr)</f>
        <v>0.71217297080253628</v>
      </c>
    </row>
    <row r="28" spans="1:21" x14ac:dyDescent="0.25">
      <c r="A28" s="2">
        <v>26</v>
      </c>
      <c r="B28" s="33">
        <f>TPR($B$1,$A28,dr)</f>
        <v>1.1133113702368072</v>
      </c>
      <c r="C28" s="33">
        <f>TPR($C$1,$A28,dr)</f>
        <v>1.1035108951712305</v>
      </c>
      <c r="D28" s="33">
        <f t="shared" si="0"/>
        <v>1.0954221057789866</v>
      </c>
      <c r="E28" s="33">
        <f t="shared" si="1"/>
        <v>1.089323806324346</v>
      </c>
      <c r="F28" s="33">
        <f t="shared" si="2"/>
        <v>1.0837523144967367</v>
      </c>
      <c r="G28" s="33">
        <f t="shared" si="3"/>
        <v>1.0789373254552053</v>
      </c>
      <c r="H28" s="33">
        <f t="shared" si="4"/>
        <v>1.0753057911285282</v>
      </c>
      <c r="I28" s="33">
        <f t="shared" si="5"/>
        <v>1.0701727098691489</v>
      </c>
      <c r="J28" s="33">
        <f t="shared" si="6"/>
        <v>1.0654961910774439</v>
      </c>
      <c r="K28" s="33">
        <f t="shared" si="7"/>
        <v>1.0596548928195391</v>
      </c>
      <c r="L28" s="33">
        <f t="shared" si="8"/>
        <v>1.0543689247713983</v>
      </c>
      <c r="M28" s="33">
        <f t="shared" si="9"/>
        <v>1.0506094393907872</v>
      </c>
      <c r="N28" s="33">
        <f t="shared" si="10"/>
        <v>1.0479223759930398</v>
      </c>
      <c r="O28" s="33">
        <f t="shared" si="11"/>
        <v>1.0440862285020991</v>
      </c>
      <c r="Q28" t="s">
        <v>63</v>
      </c>
      <c r="R28">
        <f xml:space="preserve"> ((1000 + R26) / (1000 + dr)) ^ 2</f>
        <v>0.90702947845804982</v>
      </c>
    </row>
    <row r="29" spans="1:21" x14ac:dyDescent="0.25">
      <c r="A29" s="2">
        <v>27</v>
      </c>
      <c r="B29" s="33">
        <f>TPR($B$1,$A29,dr)</f>
        <v>1.1089860569017715</v>
      </c>
      <c r="C29" s="33">
        <f>TPR($C$1,$A29,dr)</f>
        <v>1.1000063882049396</v>
      </c>
      <c r="D29" s="33">
        <f t="shared" si="0"/>
        <v>1.0914040209274591</v>
      </c>
      <c r="E29" s="33">
        <f t="shared" si="1"/>
        <v>1.0857579349271751</v>
      </c>
      <c r="F29" s="33">
        <f t="shared" si="2"/>
        <v>1.0806683844085614</v>
      </c>
      <c r="G29" s="33">
        <f t="shared" si="3"/>
        <v>1.0758599267211695</v>
      </c>
      <c r="H29" s="33">
        <f t="shared" si="4"/>
        <v>1.0723058911948642</v>
      </c>
      <c r="I29" s="33">
        <f t="shared" si="5"/>
        <v>1.0672100950067072</v>
      </c>
      <c r="J29" s="33">
        <f t="shared" si="6"/>
        <v>1.0628278401988493</v>
      </c>
      <c r="K29" s="33">
        <f t="shared" si="7"/>
        <v>1.0577262142024715</v>
      </c>
      <c r="L29" s="33">
        <f t="shared" si="8"/>
        <v>1.0523543597821381</v>
      </c>
      <c r="M29" s="33">
        <f t="shared" si="9"/>
        <v>1.048587183379792</v>
      </c>
      <c r="N29" s="33">
        <f t="shared" si="10"/>
        <v>1.0459967111378059</v>
      </c>
      <c r="O29" s="33">
        <f t="shared" si="11"/>
        <v>1.0422898874943494</v>
      </c>
      <c r="Q29" t="s">
        <v>64</v>
      </c>
      <c r="R29">
        <f>PDD(((R25 * 1000) / (1000+ R26)), R26)</f>
        <v>69.247190032065831</v>
      </c>
      <c r="T29">
        <f>(R25 * 1000) / (1000+ R26)</f>
        <v>399</v>
      </c>
      <c r="U29" t="s">
        <v>65</v>
      </c>
    </row>
    <row r="30" spans="1:21" x14ac:dyDescent="0.25">
      <c r="A30" s="2">
        <v>28</v>
      </c>
      <c r="B30" s="33">
        <f>TPR($B$1,$A30,dr)</f>
        <v>1.1046377053254361</v>
      </c>
      <c r="C30" s="33">
        <f>TPR($C$1,$A30,dr)</f>
        <v>1.0963708375123953</v>
      </c>
      <c r="D30" s="33">
        <f t="shared" si="0"/>
        <v>1.0874595013069526</v>
      </c>
      <c r="E30" s="33">
        <f t="shared" si="1"/>
        <v>1.0822809599179049</v>
      </c>
      <c r="F30" s="33">
        <f t="shared" si="2"/>
        <v>1.0772955765389871</v>
      </c>
      <c r="G30" s="33">
        <f t="shared" si="3"/>
        <v>1.0727017078405139</v>
      </c>
      <c r="H30" s="33">
        <f t="shared" si="4"/>
        <v>1.0691112347401792</v>
      </c>
      <c r="I30" s="33">
        <f t="shared" si="5"/>
        <v>1.0641997983537717</v>
      </c>
      <c r="J30" s="33">
        <f t="shared" si="6"/>
        <v>1.0601396238693548</v>
      </c>
      <c r="K30" s="33">
        <f t="shared" si="7"/>
        <v>1.0554910272986964</v>
      </c>
      <c r="L30" s="33">
        <f t="shared" si="8"/>
        <v>1.0502920640887983</v>
      </c>
      <c r="M30" s="33">
        <f t="shared" si="9"/>
        <v>1.0466459330905311</v>
      </c>
      <c r="N30" s="33">
        <f t="shared" si="10"/>
        <v>1.0439830939702612</v>
      </c>
      <c r="O30" s="33">
        <f t="shared" si="11"/>
        <v>1.0402745751987481</v>
      </c>
      <c r="Q30" t="s">
        <v>67</v>
      </c>
      <c r="R30">
        <f>PDD(((R25 * 1000) / (1000 + dr)), dr)</f>
        <v>88.290588610771465</v>
      </c>
    </row>
    <row r="31" spans="1:21" x14ac:dyDescent="0.25">
      <c r="A31" s="2">
        <v>29</v>
      </c>
      <c r="B31" s="33">
        <f>TPR($B$1,$A31,dr)</f>
        <v>1.1001482673110743</v>
      </c>
      <c r="C31" s="33">
        <f>TPR($C$1,$A31,dr)</f>
        <v>1.092062046255794</v>
      </c>
      <c r="D31" s="33">
        <f t="shared" si="0"/>
        <v>1.0839305918932216</v>
      </c>
      <c r="E31" s="33">
        <f t="shared" si="1"/>
        <v>1.0785650252820917</v>
      </c>
      <c r="F31" s="33">
        <f t="shared" si="2"/>
        <v>1.0737518972550093</v>
      </c>
      <c r="G31" s="33">
        <f t="shared" si="3"/>
        <v>1.069590692938742</v>
      </c>
      <c r="H31" s="33">
        <f t="shared" si="4"/>
        <v>1.0664481827817625</v>
      </c>
      <c r="I31" s="33">
        <f t="shared" si="5"/>
        <v>1.0613605503774275</v>
      </c>
      <c r="J31" s="33">
        <f t="shared" si="6"/>
        <v>1.0574503181713333</v>
      </c>
      <c r="K31" s="33">
        <f t="shared" si="7"/>
        <v>1.0529523514898027</v>
      </c>
      <c r="L31" s="33">
        <f t="shared" si="8"/>
        <v>1.0480803926510609</v>
      </c>
      <c r="M31" s="33">
        <f t="shared" si="9"/>
        <v>1.0445806509751161</v>
      </c>
      <c r="N31" s="33">
        <f t="shared" si="10"/>
        <v>1.042302137047084</v>
      </c>
      <c r="O31" s="33">
        <f t="shared" si="11"/>
        <v>1.0386810477521933</v>
      </c>
      <c r="Q31" t="s">
        <v>68</v>
      </c>
      <c r="R31">
        <f xml:space="preserve"> NPSF(((R25 * 1000) / (1000 + R26)))</f>
        <v>1.0399400000000001</v>
      </c>
    </row>
    <row r="32" spans="1:21" x14ac:dyDescent="0.25">
      <c r="A32" s="2">
        <v>30</v>
      </c>
      <c r="B32" s="33">
        <f>TPR($B$1,$A32,dr)</f>
        <v>1.0956352609576321</v>
      </c>
      <c r="C32" s="33">
        <f>TPR($C$1,$A32,dr)</f>
        <v>1.086984934575457</v>
      </c>
      <c r="D32" s="33">
        <f t="shared" si="0"/>
        <v>1.080383775116871</v>
      </c>
      <c r="E32" s="33">
        <f t="shared" si="1"/>
        <v>1.0745550766594956</v>
      </c>
      <c r="F32" s="33">
        <f t="shared" si="2"/>
        <v>1.0705018816376068</v>
      </c>
      <c r="G32" s="33">
        <f t="shared" si="3"/>
        <v>1.0664579761293209</v>
      </c>
      <c r="H32" s="33">
        <f t="shared" si="4"/>
        <v>1.0637359777154183</v>
      </c>
      <c r="I32" s="33">
        <f t="shared" si="5"/>
        <v>1.0583163156643804</v>
      </c>
      <c r="J32" s="33">
        <f t="shared" si="6"/>
        <v>1.0547954264258153</v>
      </c>
      <c r="K32" s="33">
        <f t="shared" si="7"/>
        <v>1.0504132874229208</v>
      </c>
      <c r="L32" s="33">
        <f t="shared" si="8"/>
        <v>1.0460469355006818</v>
      </c>
      <c r="M32" s="33">
        <f t="shared" si="9"/>
        <v>1.0425326544256439</v>
      </c>
      <c r="N32" s="33">
        <f t="shared" si="10"/>
        <v>1.04051356066527</v>
      </c>
      <c r="O32" s="33">
        <f t="shared" si="11"/>
        <v>1.0373519310549058</v>
      </c>
      <c r="Q32" t="s">
        <v>69</v>
      </c>
      <c r="R32">
        <f>NPSF(((R25 * 1000) / (1000 + dr)))</f>
        <v>1.0387999999999999</v>
      </c>
      <c r="T32">
        <f>((R25 * 1000) / (1000 + dr))</f>
        <v>380</v>
      </c>
    </row>
    <row r="33" spans="1:15" x14ac:dyDescent="0.25">
      <c r="A33" s="2">
        <v>31</v>
      </c>
      <c r="B33" s="33">
        <f>TPR($B$1,$A33,dr)</f>
        <v>1.0908617109962635</v>
      </c>
      <c r="C33" s="33">
        <f>TPR($C$1,$A33,dr)</f>
        <v>1.0822901681648955</v>
      </c>
      <c r="D33" s="33">
        <f t="shared" si="0"/>
        <v>1.0766562469825849</v>
      </c>
      <c r="E33" s="33">
        <f t="shared" si="1"/>
        <v>1.0708868992565759</v>
      </c>
      <c r="F33" s="33">
        <f t="shared" si="2"/>
        <v>1.0673975202297907</v>
      </c>
      <c r="G33" s="33">
        <f t="shared" si="3"/>
        <v>1.0633326422911242</v>
      </c>
      <c r="H33" s="33">
        <f t="shared" si="4"/>
        <v>1.0607417893678919</v>
      </c>
      <c r="I33" s="33">
        <f t="shared" si="5"/>
        <v>1.0555907274536727</v>
      </c>
      <c r="J33" s="33">
        <f t="shared" si="6"/>
        <v>1.0521989048028837</v>
      </c>
      <c r="K33" s="33">
        <f t="shared" si="7"/>
        <v>1.0478587842857181</v>
      </c>
      <c r="L33" s="33">
        <f t="shared" si="8"/>
        <v>1.0440930640642729</v>
      </c>
      <c r="M33" s="33">
        <f t="shared" si="9"/>
        <v>1.0406758355458323</v>
      </c>
      <c r="N33" s="33">
        <f t="shared" si="10"/>
        <v>1.0385683031009167</v>
      </c>
      <c r="O33" s="33">
        <f t="shared" si="11"/>
        <v>1.035790161915501</v>
      </c>
    </row>
    <row r="34" spans="1:15" x14ac:dyDescent="0.25">
      <c r="A34" s="2">
        <v>32</v>
      </c>
      <c r="B34" s="33">
        <f>TPR($B$1,$A34,dr)</f>
        <v>1.0859449043087135</v>
      </c>
      <c r="C34" s="33">
        <f>TPR($C$1,$A34,dr)</f>
        <v>1.0783034943417547</v>
      </c>
      <c r="D34" s="33">
        <f t="shared" si="0"/>
        <v>1.0727980618869195</v>
      </c>
      <c r="E34" s="33">
        <f t="shared" si="1"/>
        <v>1.0677471525666853</v>
      </c>
      <c r="F34" s="33">
        <f t="shared" si="2"/>
        <v>1.0640233816168336</v>
      </c>
      <c r="G34" s="33">
        <f t="shared" si="3"/>
        <v>1.0601827227526939</v>
      </c>
      <c r="H34" s="33">
        <f t="shared" si="4"/>
        <v>1.0576699352454026</v>
      </c>
      <c r="I34" s="33">
        <f t="shared" si="5"/>
        <v>1.0530194014283067</v>
      </c>
      <c r="J34" s="33">
        <f t="shared" si="6"/>
        <v>1.0495360426520655</v>
      </c>
      <c r="K34" s="33">
        <f t="shared" si="7"/>
        <v>1.0454595027195854</v>
      </c>
      <c r="L34" s="33">
        <f t="shared" si="8"/>
        <v>1.0419545605046134</v>
      </c>
      <c r="M34" s="33">
        <f t="shared" si="9"/>
        <v>1.0389584468626114</v>
      </c>
      <c r="N34" s="33">
        <f t="shared" si="10"/>
        <v>1.0366520160550319</v>
      </c>
      <c r="O34" s="33">
        <f t="shared" si="11"/>
        <v>1.0339257259716665</v>
      </c>
    </row>
    <row r="35" spans="1:15" x14ac:dyDescent="0.25">
      <c r="A35" s="2">
        <v>33</v>
      </c>
      <c r="B35" s="33">
        <f>TPR($B$1,$A35,dr)</f>
        <v>1.0810030420316654</v>
      </c>
      <c r="C35" s="33">
        <f>TPR($C$1,$A35,dr)</f>
        <v>1.0745022417762624</v>
      </c>
      <c r="D35" s="33">
        <f t="shared" si="0"/>
        <v>1.0690501008655728</v>
      </c>
      <c r="E35" s="33">
        <f t="shared" si="1"/>
        <v>1.0646002838131023</v>
      </c>
      <c r="F35" s="33">
        <f t="shared" si="2"/>
        <v>1.0604506903880599</v>
      </c>
      <c r="G35" s="33">
        <f t="shared" si="3"/>
        <v>1.0570478102227152</v>
      </c>
      <c r="H35" s="33">
        <f t="shared" si="4"/>
        <v>1.0546939016327157</v>
      </c>
      <c r="I35" s="33">
        <f t="shared" si="5"/>
        <v>1.0505398584705437</v>
      </c>
      <c r="J35" s="33">
        <f t="shared" si="6"/>
        <v>1.0468813279885985</v>
      </c>
      <c r="K35" s="33">
        <f t="shared" si="7"/>
        <v>1.0432294839298328</v>
      </c>
      <c r="L35" s="33">
        <f t="shared" si="8"/>
        <v>1.0396354336037854</v>
      </c>
      <c r="M35" s="33">
        <f t="shared" si="9"/>
        <v>1.0370963793128574</v>
      </c>
      <c r="N35" s="33">
        <f t="shared" si="10"/>
        <v>1.0348834290128215</v>
      </c>
      <c r="O35" s="33">
        <f t="shared" si="11"/>
        <v>1.0320756436600769</v>
      </c>
    </row>
    <row r="36" spans="1:15" x14ac:dyDescent="0.25">
      <c r="A36" s="2">
        <v>34</v>
      </c>
      <c r="B36" s="33">
        <f>TPR($B$1,$A36,dr)</f>
        <v>1.0760360850264965</v>
      </c>
      <c r="C36" s="33">
        <f>TPR($C$1,$A36,dr)</f>
        <v>1.0700383136909877</v>
      </c>
      <c r="D36" s="33">
        <f t="shared" si="0"/>
        <v>1.0648876273795633</v>
      </c>
      <c r="E36" s="33">
        <f t="shared" si="1"/>
        <v>1.0608897082335231</v>
      </c>
      <c r="F36" s="33">
        <f t="shared" si="2"/>
        <v>1.0569371607708886</v>
      </c>
      <c r="G36" s="33">
        <f t="shared" si="3"/>
        <v>1.0539385506232721</v>
      </c>
      <c r="H36" s="33">
        <f t="shared" si="4"/>
        <v>1.0517844350707348</v>
      </c>
      <c r="I36" s="33">
        <f t="shared" si="5"/>
        <v>1.0478697245832631</v>
      </c>
      <c r="J36" s="33">
        <f t="shared" si="6"/>
        <v>1.0443505795171031</v>
      </c>
      <c r="K36" s="33">
        <f t="shared" si="7"/>
        <v>1.040923506492806</v>
      </c>
      <c r="L36" s="33">
        <f t="shared" si="8"/>
        <v>1.0374819406270319</v>
      </c>
      <c r="M36" s="33">
        <f t="shared" si="9"/>
        <v>1.0349750388479628</v>
      </c>
      <c r="N36" s="33">
        <f t="shared" si="10"/>
        <v>1.0329484120288335</v>
      </c>
      <c r="O36" s="33">
        <f t="shared" si="11"/>
        <v>1.0303900166761149</v>
      </c>
    </row>
    <row r="37" spans="1:15" x14ac:dyDescent="0.25">
      <c r="A37" s="2">
        <v>35</v>
      </c>
      <c r="B37" s="33">
        <f>TPR($B$1,$A37,dr)</f>
        <v>1.0711633805653951</v>
      </c>
      <c r="C37" s="33">
        <f>TPR($C$1,$A37,dr)</f>
        <v>1.0655605883224002</v>
      </c>
      <c r="D37" s="33">
        <f t="shared" si="0"/>
        <v>1.0610040722796974</v>
      </c>
      <c r="E37" s="33">
        <f t="shared" si="1"/>
        <v>1.0568289878937018</v>
      </c>
      <c r="F37" s="33">
        <f t="shared" si="2"/>
        <v>1.0533099072819754</v>
      </c>
      <c r="G37" s="33">
        <f t="shared" si="3"/>
        <v>1.0508056154526553</v>
      </c>
      <c r="H37" s="33">
        <f t="shared" si="4"/>
        <v>1.0487734502553778</v>
      </c>
      <c r="I37" s="33">
        <f t="shared" si="5"/>
        <v>1.0449744962063834</v>
      </c>
      <c r="J37" s="33">
        <f t="shared" si="6"/>
        <v>1.0420266785503867</v>
      </c>
      <c r="K37" s="33">
        <f t="shared" si="7"/>
        <v>1.0384718894635994</v>
      </c>
      <c r="L37" s="33">
        <f t="shared" si="8"/>
        <v>1.0352836991041556</v>
      </c>
      <c r="M37" s="33">
        <f t="shared" si="9"/>
        <v>1.0326554747995376</v>
      </c>
      <c r="N37" s="33">
        <f t="shared" si="10"/>
        <v>1.0307766070441606</v>
      </c>
      <c r="O37" s="33">
        <f t="shared" si="11"/>
        <v>1.0285656445022278</v>
      </c>
    </row>
    <row r="38" spans="1:15" x14ac:dyDescent="0.25">
      <c r="A38" s="2">
        <v>36</v>
      </c>
      <c r="B38" s="33">
        <f>TPR($B$1,$A38,dr)</f>
        <v>1.0663855791811401</v>
      </c>
      <c r="C38" s="33">
        <f>TPR($C$1,$A38,dr)</f>
        <v>1.0612813982079701</v>
      </c>
      <c r="D38" s="33">
        <f t="shared" si="0"/>
        <v>1.0574296875243829</v>
      </c>
      <c r="E38" s="33">
        <f t="shared" si="1"/>
        <v>1.053002083157488</v>
      </c>
      <c r="F38" s="33">
        <f t="shared" si="2"/>
        <v>1.0497045743065403</v>
      </c>
      <c r="G38" s="33">
        <f t="shared" si="3"/>
        <v>1.0473892395295621</v>
      </c>
      <c r="H38" s="33">
        <f t="shared" si="4"/>
        <v>1.0454856206157359</v>
      </c>
      <c r="I38" s="33">
        <f t="shared" si="5"/>
        <v>1.0420221123875801</v>
      </c>
      <c r="J38" s="33">
        <f t="shared" si="6"/>
        <v>1.0395915002929415</v>
      </c>
      <c r="K38" s="33">
        <f t="shared" si="7"/>
        <v>1.0361741771696111</v>
      </c>
      <c r="L38" s="33">
        <f t="shared" si="8"/>
        <v>1.0331000357704245</v>
      </c>
      <c r="M38" s="33">
        <f t="shared" si="9"/>
        <v>1.0304153808467291</v>
      </c>
      <c r="N38" s="33">
        <f t="shared" si="10"/>
        <v>1.0287869291907104</v>
      </c>
      <c r="O38" s="33">
        <f t="shared" si="11"/>
        <v>1.0266618829020624</v>
      </c>
    </row>
    <row r="39" spans="1:15" x14ac:dyDescent="0.25">
      <c r="A39" s="2">
        <v>37</v>
      </c>
      <c r="B39" s="33">
        <f>TPR($B$1,$A39,dr)</f>
        <v>1.0617033327332441</v>
      </c>
      <c r="C39" s="33">
        <f>TPR($C$1,$A39,dr)</f>
        <v>1.0573065311194845</v>
      </c>
      <c r="D39" s="33">
        <f t="shared" si="0"/>
        <v>1.0538806847039048</v>
      </c>
      <c r="E39" s="33">
        <f t="shared" si="1"/>
        <v>1.0496360794743786</v>
      </c>
      <c r="F39" s="33">
        <f t="shared" si="2"/>
        <v>1.0462898820862025</v>
      </c>
      <c r="G39" s="33">
        <f t="shared" si="3"/>
        <v>1.0439812129478816</v>
      </c>
      <c r="H39" s="33">
        <f t="shared" si="4"/>
        <v>1.0420146905980192</v>
      </c>
      <c r="I39" s="33">
        <f t="shared" si="5"/>
        <v>1.0391024267930622</v>
      </c>
      <c r="J39" s="33">
        <f t="shared" si="6"/>
        <v>1.0370705670427618</v>
      </c>
      <c r="K39" s="33">
        <f t="shared" si="7"/>
        <v>1.0338421243260167</v>
      </c>
      <c r="L39" s="33">
        <f t="shared" si="8"/>
        <v>1.0306142348984419</v>
      </c>
      <c r="M39" s="33">
        <f t="shared" si="9"/>
        <v>1.0282856078388003</v>
      </c>
      <c r="N39" s="33">
        <f t="shared" si="10"/>
        <v>1.0269151240986982</v>
      </c>
      <c r="O39" s="33">
        <f t="shared" si="11"/>
        <v>1.0248557448933344</v>
      </c>
    </row>
    <row r="40" spans="1:15" x14ac:dyDescent="0.25">
      <c r="A40" s="2">
        <v>38</v>
      </c>
      <c r="B40" s="33">
        <f>TPR($B$1,$A40,dr)</f>
        <v>1.056997217662377</v>
      </c>
      <c r="C40" s="33">
        <f>TPR($C$1,$A40,dr)</f>
        <v>1.0532012382556666</v>
      </c>
      <c r="D40" s="33">
        <f t="shared" si="0"/>
        <v>1.0501924334430852</v>
      </c>
      <c r="E40" s="33">
        <f t="shared" si="1"/>
        <v>1.0463241333055018</v>
      </c>
      <c r="F40" s="33">
        <f t="shared" si="2"/>
        <v>1.042973258183812</v>
      </c>
      <c r="G40" s="33">
        <f t="shared" si="3"/>
        <v>1.0405839063168849</v>
      </c>
      <c r="H40" s="33">
        <f t="shared" si="4"/>
        <v>1.0386884417429638</v>
      </c>
      <c r="I40" s="33">
        <f t="shared" si="5"/>
        <v>1.0361083786780523</v>
      </c>
      <c r="J40" s="33">
        <f t="shared" si="6"/>
        <v>1.0342409239088699</v>
      </c>
      <c r="K40" s="33">
        <f t="shared" si="7"/>
        <v>1.0312490812946933</v>
      </c>
      <c r="L40" s="33">
        <f t="shared" si="8"/>
        <v>1.0280823455822401</v>
      </c>
      <c r="M40" s="33">
        <f t="shared" si="9"/>
        <v>1.0262291759242106</v>
      </c>
      <c r="N40" s="33">
        <f t="shared" si="10"/>
        <v>1.024878903389328</v>
      </c>
      <c r="O40" s="33">
        <f t="shared" si="11"/>
        <v>1.023004686878632</v>
      </c>
    </row>
    <row r="41" spans="1:15" x14ac:dyDescent="0.25">
      <c r="A41" s="2">
        <v>39</v>
      </c>
      <c r="B41" s="33">
        <f>TPR($B$1,$A41,dr)</f>
        <v>1.0523875041194262</v>
      </c>
      <c r="C41" s="33">
        <f>TPR($C$1,$A41,dr)</f>
        <v>1.0490844958277392</v>
      </c>
      <c r="D41" s="33">
        <f t="shared" si="0"/>
        <v>1.0461821322230651</v>
      </c>
      <c r="E41" s="33">
        <f t="shared" si="1"/>
        <v>1.0427355974476957</v>
      </c>
      <c r="F41" s="33">
        <f t="shared" si="2"/>
        <v>1.0396771498222523</v>
      </c>
      <c r="G41" s="33">
        <f t="shared" si="3"/>
        <v>1.0373693502685595</v>
      </c>
      <c r="H41" s="33">
        <f t="shared" si="4"/>
        <v>1.0354110969159556</v>
      </c>
      <c r="I41" s="33">
        <f t="shared" si="5"/>
        <v>1.0331867599693054</v>
      </c>
      <c r="J41" s="33">
        <f t="shared" si="6"/>
        <v>1.0314192764723125</v>
      </c>
      <c r="K41" s="33">
        <f t="shared" si="7"/>
        <v>1.0287301170804355</v>
      </c>
      <c r="L41" s="33">
        <f t="shared" si="8"/>
        <v>1.0257428961948891</v>
      </c>
      <c r="M41" s="33">
        <f t="shared" si="9"/>
        <v>1.0241961527377141</v>
      </c>
      <c r="N41" s="33">
        <f t="shared" si="10"/>
        <v>1.0229169542318173</v>
      </c>
      <c r="O41" s="33">
        <f t="shared" si="11"/>
        <v>1.0212502850923506</v>
      </c>
    </row>
    <row r="42" spans="1:15" x14ac:dyDescent="0.25">
      <c r="A42" s="2">
        <v>40</v>
      </c>
      <c r="B42" s="33">
        <f>TPR($B$1,$A42,dr)</f>
        <v>1.0476337711320025</v>
      </c>
      <c r="C42" s="33">
        <f>TPR($C$1,$A42,dr)</f>
        <v>1.0446144530673247</v>
      </c>
      <c r="D42" s="33">
        <f t="shared" si="0"/>
        <v>1.0414987590835167</v>
      </c>
      <c r="E42" s="33">
        <f t="shared" si="1"/>
        <v>1.0389886155554384</v>
      </c>
      <c r="F42" s="33">
        <f t="shared" si="2"/>
        <v>1.0363602867273773</v>
      </c>
      <c r="G42" s="33">
        <f t="shared" si="3"/>
        <v>1.0342211459190063</v>
      </c>
      <c r="H42" s="33">
        <f t="shared" si="4"/>
        <v>1.0323913199112895</v>
      </c>
      <c r="I42" s="33">
        <f t="shared" si="5"/>
        <v>1.0302179047631248</v>
      </c>
      <c r="J42" s="33">
        <f t="shared" si="6"/>
        <v>1.0284678221818742</v>
      </c>
      <c r="K42" s="33">
        <f t="shared" si="7"/>
        <v>1.0262624463384622</v>
      </c>
      <c r="L42" s="33">
        <f t="shared" si="8"/>
        <v>1.0235957907838058</v>
      </c>
      <c r="M42" s="33">
        <f t="shared" si="9"/>
        <v>1.0220993455980054</v>
      </c>
      <c r="N42" s="33">
        <f t="shared" si="10"/>
        <v>1.0207443999221852</v>
      </c>
      <c r="O42" s="33">
        <f t="shared" si="11"/>
        <v>1.0192597074618881</v>
      </c>
    </row>
    <row r="43" spans="1:15" x14ac:dyDescent="0.25">
      <c r="A43" s="2">
        <v>41</v>
      </c>
      <c r="B43" s="33">
        <f>TPR($B$1,$A43,dr)</f>
        <v>1.0428560582971607</v>
      </c>
      <c r="C43" s="33">
        <f>TPR($C$1,$A43,dr)</f>
        <v>1.0398052326622509</v>
      </c>
      <c r="D43" s="33">
        <f t="shared" si="0"/>
        <v>1.0370368425315113</v>
      </c>
      <c r="E43" s="33">
        <f t="shared" si="1"/>
        <v>1.0351860717788415</v>
      </c>
      <c r="F43" s="33">
        <f t="shared" si="2"/>
        <v>1.0328177766181827</v>
      </c>
      <c r="G43" s="33">
        <f t="shared" si="3"/>
        <v>1.0309901681572073</v>
      </c>
      <c r="H43" s="33">
        <f t="shared" si="4"/>
        <v>1.0293528332153119</v>
      </c>
      <c r="I43" s="33">
        <f t="shared" si="5"/>
        <v>1.0273241204798615</v>
      </c>
      <c r="J43" s="33">
        <f t="shared" si="6"/>
        <v>1.0257004227167765</v>
      </c>
      <c r="K43" s="33">
        <f t="shared" si="7"/>
        <v>1.0235467446471018</v>
      </c>
      <c r="L43" s="33">
        <f t="shared" si="8"/>
        <v>1.0211904618329164</v>
      </c>
      <c r="M43" s="33">
        <f t="shared" si="9"/>
        <v>1.0201251504641593</v>
      </c>
      <c r="N43" s="33">
        <f t="shared" si="10"/>
        <v>1.0186121694372301</v>
      </c>
      <c r="O43" s="33">
        <f t="shared" si="11"/>
        <v>1.0171605635661676</v>
      </c>
    </row>
    <row r="44" spans="1:15" x14ac:dyDescent="0.25">
      <c r="A44" s="2">
        <v>42</v>
      </c>
      <c r="B44" s="33">
        <f>TPR($B$1,$A44,dr)</f>
        <v>1.0380543284663779</v>
      </c>
      <c r="C44" s="33">
        <f>TPR($C$1,$A44,dr)</f>
        <v>1.035077516040265</v>
      </c>
      <c r="D44" s="33">
        <f t="shared" si="0"/>
        <v>1.032766970691297</v>
      </c>
      <c r="E44" s="33">
        <f t="shared" si="1"/>
        <v>1.0311234241732676</v>
      </c>
      <c r="F44" s="33">
        <f t="shared" si="2"/>
        <v>1.028994054343777</v>
      </c>
      <c r="G44" s="33">
        <f t="shared" si="3"/>
        <v>1.0275884744658637</v>
      </c>
      <c r="H44" s="33">
        <f t="shared" si="4"/>
        <v>1.0263365399180526</v>
      </c>
      <c r="I44" s="33">
        <f t="shared" si="5"/>
        <v>1.0246189318438064</v>
      </c>
      <c r="J44" s="33">
        <f t="shared" si="6"/>
        <v>1.0228845363368519</v>
      </c>
      <c r="K44" s="33">
        <f t="shared" si="7"/>
        <v>1.020611500227796</v>
      </c>
      <c r="L44" s="33">
        <f t="shared" si="8"/>
        <v>1.018637090002154</v>
      </c>
      <c r="M44" s="33">
        <f t="shared" si="9"/>
        <v>1.0180213319442133</v>
      </c>
      <c r="N44" s="33">
        <f t="shared" si="10"/>
        <v>1.0165279317640219</v>
      </c>
      <c r="O44" s="33">
        <f t="shared" si="11"/>
        <v>1.0152522575477776</v>
      </c>
    </row>
    <row r="45" spans="1:15" x14ac:dyDescent="0.25">
      <c r="A45" s="2">
        <v>43</v>
      </c>
      <c r="B45" s="33">
        <f>TPR($B$1,$A45,dr)</f>
        <v>1.0332285444911322</v>
      </c>
      <c r="C45" s="33">
        <f>TPR($C$1,$A45,dr)</f>
        <v>1.0307451568848318</v>
      </c>
      <c r="D45" s="33">
        <f t="shared" si="0"/>
        <v>1.0286487219881808</v>
      </c>
      <c r="E45" s="33">
        <f t="shared" si="1"/>
        <v>1.0272493625956398</v>
      </c>
      <c r="F45" s="33">
        <f t="shared" si="2"/>
        <v>1.0252053903676899</v>
      </c>
      <c r="G45" s="33">
        <f t="shared" si="3"/>
        <v>1.0241623316379926</v>
      </c>
      <c r="H45" s="33">
        <f t="shared" si="4"/>
        <v>1.0231434031562416</v>
      </c>
      <c r="I45" s="33">
        <f t="shared" si="5"/>
        <v>1.0215750824804815</v>
      </c>
      <c r="J45" s="33">
        <f t="shared" si="6"/>
        <v>1.0201422661180355</v>
      </c>
      <c r="K45" s="33">
        <f t="shared" si="7"/>
        <v>1.0180681396848699</v>
      </c>
      <c r="L45" s="33">
        <f t="shared" si="8"/>
        <v>1.0164231057655084</v>
      </c>
      <c r="M45" s="33">
        <f t="shared" si="9"/>
        <v>1.0157906942872059</v>
      </c>
      <c r="N45" s="33">
        <f t="shared" si="10"/>
        <v>1.0144605044012878</v>
      </c>
      <c r="O45" s="33">
        <f t="shared" si="11"/>
        <v>1.0134413532938984</v>
      </c>
    </row>
    <row r="46" spans="1:15" x14ac:dyDescent="0.25">
      <c r="A46" s="2">
        <v>44</v>
      </c>
      <c r="B46" s="33">
        <f>TPR($B$1,$A46,dr)</f>
        <v>1.0286215959937268</v>
      </c>
      <c r="C46" s="33">
        <f>TPR($C$1,$A46,dr)</f>
        <v>1.0264183300129663</v>
      </c>
      <c r="D46" s="33">
        <f t="shared" si="0"/>
        <v>1.0246070024266274</v>
      </c>
      <c r="E46" s="33">
        <f t="shared" si="1"/>
        <v>1.0234705588669091</v>
      </c>
      <c r="F46" s="33">
        <f t="shared" si="2"/>
        <v>1.0217754921073356</v>
      </c>
      <c r="G46" s="33">
        <f t="shared" si="3"/>
        <v>1.0207668791207918</v>
      </c>
      <c r="H46" s="33">
        <f t="shared" si="4"/>
        <v>1.0197385832273762</v>
      </c>
      <c r="I46" s="33">
        <f t="shared" si="5"/>
        <v>1.0181923066192853</v>
      </c>
      <c r="J46" s="33">
        <f t="shared" si="6"/>
        <v>1.017379116171627</v>
      </c>
      <c r="K46" s="33">
        <f t="shared" si="7"/>
        <v>1.0157122694990752</v>
      </c>
      <c r="L46" s="33">
        <f t="shared" si="8"/>
        <v>1.0143252342786211</v>
      </c>
      <c r="M46" s="33">
        <f t="shared" si="9"/>
        <v>1.0133927668382907</v>
      </c>
      <c r="N46" s="33">
        <f t="shared" si="10"/>
        <v>1.0124885284567176</v>
      </c>
      <c r="O46" s="33">
        <f t="shared" si="11"/>
        <v>1.0117473436305167</v>
      </c>
    </row>
    <row r="47" spans="1:15" x14ac:dyDescent="0.25">
      <c r="A47" s="2">
        <v>45</v>
      </c>
      <c r="B47" s="33">
        <f>TPR($B$1,$A47,dr)</f>
        <v>1.0241131418430602</v>
      </c>
      <c r="C47" s="33">
        <f>TPR($C$1,$A47,dr)</f>
        <v>1.022188141417312</v>
      </c>
      <c r="D47" s="33">
        <f t="shared" si="0"/>
        <v>1.0203663442927671</v>
      </c>
      <c r="E47" s="33">
        <f t="shared" si="1"/>
        <v>1.0195264707326694</v>
      </c>
      <c r="F47" s="33">
        <f t="shared" si="2"/>
        <v>1.0183798167075955</v>
      </c>
      <c r="G47" s="33">
        <f t="shared" si="3"/>
        <v>1.0173083459785042</v>
      </c>
      <c r="H47" s="33">
        <f t="shared" si="4"/>
        <v>1.0162755143125977</v>
      </c>
      <c r="I47" s="33">
        <f t="shared" si="5"/>
        <v>1.0149722140749613</v>
      </c>
      <c r="J47" s="33">
        <f t="shared" si="6"/>
        <v>1.0146505851505974</v>
      </c>
      <c r="K47" s="33">
        <f t="shared" si="7"/>
        <v>1.0131611764284609</v>
      </c>
      <c r="L47" s="33">
        <f t="shared" si="8"/>
        <v>1.0119854944864051</v>
      </c>
      <c r="M47" s="33">
        <f t="shared" si="9"/>
        <v>1.0112020634634693</v>
      </c>
      <c r="N47" s="33">
        <f t="shared" si="10"/>
        <v>1.0106671892775374</v>
      </c>
      <c r="O47" s="33">
        <f t="shared" si="11"/>
        <v>1.0099670985426679</v>
      </c>
    </row>
    <row r="48" spans="1:15" x14ac:dyDescent="0.25">
      <c r="A48" s="2">
        <v>46</v>
      </c>
      <c r="B48" s="33">
        <f>TPR($B$1,$A48,dr)</f>
        <v>1.0194599877870711</v>
      </c>
      <c r="C48" s="33">
        <f>TPR($C$1,$A48,dr)</f>
        <v>1.017501673967526</v>
      </c>
      <c r="D48" s="33">
        <f t="shared" si="0"/>
        <v>1.0158249082866289</v>
      </c>
      <c r="E48" s="33">
        <f t="shared" si="1"/>
        <v>1.0157831995859556</v>
      </c>
      <c r="F48" s="33">
        <f t="shared" si="2"/>
        <v>1.0147932874849634</v>
      </c>
      <c r="G48" s="33">
        <f t="shared" si="3"/>
        <v>1.0136473527119632</v>
      </c>
      <c r="H48" s="33">
        <f t="shared" si="4"/>
        <v>1.0129772785346696</v>
      </c>
      <c r="I48" s="33">
        <f t="shared" si="5"/>
        <v>1.0120789001181318</v>
      </c>
      <c r="J48" s="33">
        <f t="shared" si="6"/>
        <v>1.011737348213519</v>
      </c>
      <c r="K48" s="33">
        <f t="shared" si="7"/>
        <v>1.0101634858390041</v>
      </c>
      <c r="L48" s="33">
        <f t="shared" si="8"/>
        <v>1.0093625901142818</v>
      </c>
      <c r="M48" s="33">
        <f t="shared" si="9"/>
        <v>1.0088583705165788</v>
      </c>
      <c r="N48" s="33">
        <f t="shared" si="10"/>
        <v>1.0085493186043115</v>
      </c>
      <c r="O48" s="33">
        <f t="shared" si="11"/>
        <v>1.0078382548427092</v>
      </c>
    </row>
    <row r="49" spans="1:15" x14ac:dyDescent="0.25">
      <c r="A49" s="2">
        <v>47</v>
      </c>
      <c r="B49" s="33">
        <f>TPR($B$1,$A49,dr)</f>
        <v>1.0147835613893834</v>
      </c>
      <c r="C49" s="33">
        <f>TPR($C$1,$A49,dr)</f>
        <v>1.0128967917525411</v>
      </c>
      <c r="D49" s="33">
        <f t="shared" si="0"/>
        <v>1.0119665369429172</v>
      </c>
      <c r="E49" s="33">
        <f t="shared" si="1"/>
        <v>1.0121058403124559</v>
      </c>
      <c r="F49" s="33">
        <f t="shared" si="2"/>
        <v>1.0108999224548032</v>
      </c>
      <c r="G49" s="33">
        <f t="shared" si="3"/>
        <v>1.0099385526499385</v>
      </c>
      <c r="H49" s="33">
        <f t="shared" si="4"/>
        <v>1.0098436979535168</v>
      </c>
      <c r="I49" s="33">
        <f t="shared" si="5"/>
        <v>1.0093088590163564</v>
      </c>
      <c r="J49" s="33">
        <f t="shared" si="6"/>
        <v>1.0088400840840441</v>
      </c>
      <c r="K49" s="33">
        <f t="shared" si="7"/>
        <v>1.0076825760476373</v>
      </c>
      <c r="L49" s="33">
        <f t="shared" si="8"/>
        <v>1.0070307663730691</v>
      </c>
      <c r="M49" s="33">
        <f t="shared" si="9"/>
        <v>1.0064612898754834</v>
      </c>
      <c r="N49" s="33">
        <f t="shared" si="10"/>
        <v>1.0061370180527283</v>
      </c>
      <c r="O49" s="33">
        <f t="shared" si="11"/>
        <v>1.0056360980296772</v>
      </c>
    </row>
    <row r="50" spans="1:15" x14ac:dyDescent="0.25">
      <c r="A50" s="2">
        <v>48</v>
      </c>
      <c r="B50" s="33">
        <f>TPR($B$1,$A50,dr)</f>
        <v>1.0099614345937942</v>
      </c>
      <c r="C50" s="33">
        <f>TPR($C$1,$A50,dr)</f>
        <v>1.0085646886078992</v>
      </c>
      <c r="D50" s="33">
        <f t="shared" si="0"/>
        <v>1.008538248399532</v>
      </c>
      <c r="E50" s="33">
        <f t="shared" si="1"/>
        <v>1.0081521428783702</v>
      </c>
      <c r="F50" s="33">
        <f t="shared" si="2"/>
        <v>1.0070316477451222</v>
      </c>
      <c r="G50" s="33">
        <f t="shared" si="3"/>
        <v>1.0064399238330239</v>
      </c>
      <c r="H50" s="33">
        <f t="shared" si="4"/>
        <v>1.006546589732598</v>
      </c>
      <c r="I50" s="33">
        <f t="shared" si="5"/>
        <v>1.0063529687517156</v>
      </c>
      <c r="J50" s="33">
        <f t="shared" si="6"/>
        <v>1.0058974513777619</v>
      </c>
      <c r="K50" s="33">
        <f t="shared" si="7"/>
        <v>1.0054469155069592</v>
      </c>
      <c r="L50" s="33">
        <f t="shared" si="8"/>
        <v>1.0048408079907278</v>
      </c>
      <c r="M50" s="33">
        <f t="shared" si="9"/>
        <v>1.0040769022020899</v>
      </c>
      <c r="N50" s="33">
        <f t="shared" si="10"/>
        <v>1.003956910424328</v>
      </c>
      <c r="O50" s="33">
        <f t="shared" si="11"/>
        <v>1.0036649534045792</v>
      </c>
    </row>
    <row r="51" spans="1:15" x14ac:dyDescent="0.25">
      <c r="A51" s="2">
        <v>49</v>
      </c>
      <c r="B51" s="33">
        <f>TPR($B$1,$A51,dr)</f>
        <v>1.0051154982828157</v>
      </c>
      <c r="C51" s="33">
        <f>TPR($C$1,$A51,dr)</f>
        <v>1.0043120562870917</v>
      </c>
      <c r="D51" s="33">
        <f t="shared" si="0"/>
        <v>1.0045226707759991</v>
      </c>
      <c r="E51" s="33">
        <f t="shared" si="1"/>
        <v>1.0039292555831505</v>
      </c>
      <c r="F51" s="33">
        <f t="shared" si="2"/>
        <v>1.0034459948002765</v>
      </c>
      <c r="G51" s="33">
        <f t="shared" si="3"/>
        <v>1.0032294336164644</v>
      </c>
      <c r="H51" s="33">
        <f t="shared" si="4"/>
        <v>1.0032442158781196</v>
      </c>
      <c r="I51" s="33">
        <f t="shared" si="5"/>
        <v>1.0032613270213213</v>
      </c>
      <c r="J51" s="33">
        <f t="shared" si="6"/>
        <v>1.002990513997877</v>
      </c>
      <c r="K51" s="33">
        <f t="shared" si="7"/>
        <v>1.002863981004066</v>
      </c>
      <c r="L51" s="33">
        <f t="shared" si="8"/>
        <v>1.0023676648208191</v>
      </c>
      <c r="M51" s="33">
        <f t="shared" si="9"/>
        <v>1.0019764423739019</v>
      </c>
      <c r="N51" s="33">
        <f t="shared" si="10"/>
        <v>1.0020503684840221</v>
      </c>
      <c r="O51" s="33">
        <f t="shared" si="11"/>
        <v>1.0019982303044905</v>
      </c>
    </row>
    <row r="52" spans="1:15" x14ac:dyDescent="0.25">
      <c r="A52" s="2">
        <v>50</v>
      </c>
      <c r="B52" s="33">
        <f>TPR($B$1,$A52,dr)</f>
        <v>1</v>
      </c>
      <c r="C52" s="33">
        <f>TPR($C$1,$A52,dr)</f>
        <v>1</v>
      </c>
      <c r="D52" s="33">
        <f t="shared" si="0"/>
        <v>1</v>
      </c>
      <c r="E52" s="33">
        <f t="shared" si="1"/>
        <v>1</v>
      </c>
      <c r="F52" s="33">
        <f t="shared" si="2"/>
        <v>1</v>
      </c>
      <c r="G52" s="33">
        <f t="shared" si="3"/>
        <v>1</v>
      </c>
      <c r="H52" s="33">
        <f t="shared" si="4"/>
        <v>1</v>
      </c>
      <c r="I52" s="33">
        <f t="shared" si="5"/>
        <v>1</v>
      </c>
      <c r="J52" s="33">
        <f t="shared" si="6"/>
        <v>1</v>
      </c>
      <c r="K52" s="33">
        <f t="shared" si="7"/>
        <v>1</v>
      </c>
      <c r="L52" s="33">
        <f t="shared" si="8"/>
        <v>1</v>
      </c>
      <c r="M52" s="33">
        <f t="shared" si="9"/>
        <v>1</v>
      </c>
      <c r="N52" s="33">
        <f t="shared" si="10"/>
        <v>1</v>
      </c>
      <c r="O52" s="33">
        <f t="shared" si="11"/>
        <v>1</v>
      </c>
    </row>
    <row r="53" spans="1:15" x14ac:dyDescent="0.25">
      <c r="A53" s="2">
        <v>51</v>
      </c>
      <c r="B53" s="33">
        <f>TPR($B$1,$A53,dr)</f>
        <v>0.9951058687881762</v>
      </c>
      <c r="C53" s="33">
        <f>TPR($C$1,$A53,dr)</f>
        <v>0.99559327901748851</v>
      </c>
      <c r="D53" s="33">
        <f t="shared" si="0"/>
        <v>0.99572571604111559</v>
      </c>
      <c r="E53" s="33">
        <f t="shared" si="1"/>
        <v>0.99622014514334034</v>
      </c>
      <c r="F53" s="33">
        <f t="shared" si="2"/>
        <v>0.99631463745402016</v>
      </c>
      <c r="G53" s="33">
        <f t="shared" si="3"/>
        <v>0.99663164901863577</v>
      </c>
      <c r="H53" s="33">
        <f t="shared" si="4"/>
        <v>0.99688352148855808</v>
      </c>
      <c r="I53" s="33">
        <f t="shared" si="5"/>
        <v>0.99660114699589208</v>
      </c>
      <c r="J53" s="33">
        <f t="shared" si="6"/>
        <v>0.99700392781263181</v>
      </c>
      <c r="K53" s="33">
        <f t="shared" si="7"/>
        <v>0.99714801722762725</v>
      </c>
      <c r="L53" s="33">
        <f t="shared" si="8"/>
        <v>0.99761408185355749</v>
      </c>
      <c r="M53" s="33">
        <f t="shared" si="9"/>
        <v>0.99783442397801525</v>
      </c>
      <c r="N53" s="33">
        <f t="shared" si="10"/>
        <v>0.99787269433389592</v>
      </c>
      <c r="O53" s="33">
        <f t="shared" si="11"/>
        <v>0.99780518721155187</v>
      </c>
    </row>
    <row r="54" spans="1:15" x14ac:dyDescent="0.25">
      <c r="A54" s="2">
        <v>52</v>
      </c>
      <c r="B54" s="33">
        <f>TPR($B$1,$A54,dr)</f>
        <v>0.9900644935418822</v>
      </c>
      <c r="C54" s="33">
        <f>TPR($C$1,$A54,dr)</f>
        <v>0.99093675339953957</v>
      </c>
      <c r="D54" s="33">
        <f t="shared" si="0"/>
        <v>0.99147901138781069</v>
      </c>
      <c r="E54" s="33">
        <f t="shared" si="1"/>
        <v>0.99244489084584642</v>
      </c>
      <c r="F54" s="33">
        <f t="shared" si="2"/>
        <v>0.99277828185358541</v>
      </c>
      <c r="G54" s="33">
        <f t="shared" si="3"/>
        <v>0.99332096598980779</v>
      </c>
      <c r="H54" s="33">
        <f t="shared" si="4"/>
        <v>0.99360636845675709</v>
      </c>
      <c r="I54" s="33">
        <f t="shared" si="5"/>
        <v>0.99330665252512473</v>
      </c>
      <c r="J54" s="33">
        <f t="shared" si="6"/>
        <v>0.99405278637703742</v>
      </c>
      <c r="K54" s="33">
        <f t="shared" si="7"/>
        <v>0.99462895414111441</v>
      </c>
      <c r="L54" s="33">
        <f t="shared" si="8"/>
        <v>0.99511632085729318</v>
      </c>
      <c r="M54" s="33">
        <f t="shared" si="9"/>
        <v>0.99542515129223719</v>
      </c>
      <c r="N54" s="33">
        <f t="shared" si="10"/>
        <v>0.99566434320368258</v>
      </c>
      <c r="O54" s="33">
        <f t="shared" si="11"/>
        <v>0.99568885245003735</v>
      </c>
    </row>
    <row r="55" spans="1:15" x14ac:dyDescent="0.25">
      <c r="A55" s="2">
        <v>53</v>
      </c>
      <c r="B55" s="33">
        <f>TPR($B$1,$A55,dr)</f>
        <v>0.98524581164006653</v>
      </c>
      <c r="C55" s="33">
        <f>TPR($C$1,$A55,dr)</f>
        <v>0.9864990415444278</v>
      </c>
      <c r="D55" s="33">
        <f t="shared" si="0"/>
        <v>0.9875461225454093</v>
      </c>
      <c r="E55" s="33">
        <f t="shared" si="1"/>
        <v>0.98864666088400566</v>
      </c>
      <c r="F55" s="33">
        <f t="shared" si="2"/>
        <v>0.98918623964893904</v>
      </c>
      <c r="G55" s="33">
        <f t="shared" si="3"/>
        <v>0.98991307395615769</v>
      </c>
      <c r="H55" s="33">
        <f t="shared" si="4"/>
        <v>0.99019572127970479</v>
      </c>
      <c r="I55" s="33">
        <f t="shared" si="5"/>
        <v>0.99022783863822683</v>
      </c>
      <c r="J55" s="33">
        <f t="shared" si="6"/>
        <v>0.99094211127659759</v>
      </c>
      <c r="K55" s="33">
        <f t="shared" si="7"/>
        <v>0.99200482304187731</v>
      </c>
      <c r="L55" s="33">
        <f t="shared" si="8"/>
        <v>0.99232890556576692</v>
      </c>
      <c r="M55" s="33">
        <f t="shared" si="9"/>
        <v>0.99291383353696272</v>
      </c>
      <c r="N55" s="33">
        <f t="shared" si="10"/>
        <v>0.99336005593191445</v>
      </c>
      <c r="O55" s="33">
        <f t="shared" si="11"/>
        <v>0.9937182980097089</v>
      </c>
    </row>
    <row r="56" spans="1:15" x14ac:dyDescent="0.25">
      <c r="A56" s="2">
        <v>54</v>
      </c>
      <c r="B56" s="33">
        <f>TPR($B$1,$A56,dr)</f>
        <v>0.98077498129978058</v>
      </c>
      <c r="C56" s="33">
        <f>TPR($C$1,$A56,dr)</f>
        <v>0.98240355081833219</v>
      </c>
      <c r="D56" s="33">
        <f t="shared" si="0"/>
        <v>0.98376013812940177</v>
      </c>
      <c r="E56" s="33">
        <f t="shared" si="1"/>
        <v>0.98477046002790813</v>
      </c>
      <c r="F56" s="33">
        <f t="shared" si="2"/>
        <v>0.98553634585418004</v>
      </c>
      <c r="G56" s="33">
        <f t="shared" si="3"/>
        <v>0.98633382725555729</v>
      </c>
      <c r="H56" s="33">
        <f t="shared" si="4"/>
        <v>0.98688091490550434</v>
      </c>
      <c r="I56" s="33">
        <f t="shared" si="5"/>
        <v>0.98721817388299427</v>
      </c>
      <c r="J56" s="33">
        <f t="shared" si="6"/>
        <v>0.98797872760769967</v>
      </c>
      <c r="K56" s="33">
        <f t="shared" si="7"/>
        <v>0.9890739609751511</v>
      </c>
      <c r="L56" s="33">
        <f t="shared" si="8"/>
        <v>0.98970991428595334</v>
      </c>
      <c r="M56" s="33">
        <f t="shared" si="9"/>
        <v>0.99055773970907468</v>
      </c>
      <c r="N56" s="33">
        <f t="shared" si="10"/>
        <v>0.99099646026738175</v>
      </c>
      <c r="O56" s="33">
        <f t="shared" si="11"/>
        <v>0.99170922509480353</v>
      </c>
    </row>
    <row r="57" spans="1:15" x14ac:dyDescent="0.25">
      <c r="A57" s="2">
        <v>55</v>
      </c>
      <c r="B57" s="33">
        <f>TPR($B$1,$A57,dr)</f>
        <v>0.97653004729196524</v>
      </c>
      <c r="C57" s="33">
        <f>TPR($C$1,$A57,dr)</f>
        <v>0.97822051371020013</v>
      </c>
      <c r="D57" s="33">
        <f t="shared" si="0"/>
        <v>0.97992771194750639</v>
      </c>
      <c r="E57" s="33">
        <f t="shared" si="1"/>
        <v>0.98078785153419357</v>
      </c>
      <c r="F57" s="33">
        <f t="shared" si="2"/>
        <v>0.98190838307605255</v>
      </c>
      <c r="G57" s="33">
        <f t="shared" si="3"/>
        <v>0.98270540856588351</v>
      </c>
      <c r="H57" s="33">
        <f t="shared" si="4"/>
        <v>0.98342360694502073</v>
      </c>
      <c r="I57" s="33">
        <f t="shared" si="5"/>
        <v>0.98424725494113074</v>
      </c>
      <c r="J57" s="33">
        <f t="shared" si="6"/>
        <v>0.98527657699134663</v>
      </c>
      <c r="K57" s="33">
        <f t="shared" si="7"/>
        <v>0.9862178244727513</v>
      </c>
      <c r="L57" s="33">
        <f t="shared" si="8"/>
        <v>0.98725653048543482</v>
      </c>
      <c r="M57" s="33">
        <f t="shared" si="9"/>
        <v>0.98824565102839612</v>
      </c>
      <c r="N57" s="33">
        <f t="shared" si="10"/>
        <v>0.98869897099040005</v>
      </c>
      <c r="O57" s="33">
        <f t="shared" si="11"/>
        <v>0.98961743643476885</v>
      </c>
    </row>
    <row r="58" spans="1:15" x14ac:dyDescent="0.25">
      <c r="A58" s="2">
        <v>56</v>
      </c>
      <c r="B58" s="33">
        <f>TPR($B$1,$A58,dr)</f>
        <v>0.97226386056983782</v>
      </c>
      <c r="C58" s="33">
        <f>TPR($C$1,$A58,dr)</f>
        <v>0.97350137431637984</v>
      </c>
      <c r="D58" s="33">
        <f t="shared" si="0"/>
        <v>0.97556196192972588</v>
      </c>
      <c r="E58" s="33">
        <f t="shared" si="1"/>
        <v>0.97683760594350333</v>
      </c>
      <c r="F58" s="33">
        <f t="shared" si="2"/>
        <v>0.97833129925394735</v>
      </c>
      <c r="G58" s="33">
        <f t="shared" si="3"/>
        <v>0.97928682228465858</v>
      </c>
      <c r="H58" s="33">
        <f t="shared" si="4"/>
        <v>0.98002396533524638</v>
      </c>
      <c r="I58" s="33">
        <f t="shared" si="5"/>
        <v>0.98113926168044174</v>
      </c>
      <c r="J58" s="33">
        <f t="shared" si="6"/>
        <v>0.98235986448695811</v>
      </c>
      <c r="K58" s="33">
        <f t="shared" si="7"/>
        <v>0.98345837291530969</v>
      </c>
      <c r="L58" s="33">
        <f t="shared" si="8"/>
        <v>0.98474261371642779</v>
      </c>
      <c r="M58" s="33">
        <f t="shared" si="9"/>
        <v>0.98605883170064912</v>
      </c>
      <c r="N58" s="33">
        <f t="shared" si="10"/>
        <v>0.98661787356325947</v>
      </c>
      <c r="O58" s="33">
        <f t="shared" si="11"/>
        <v>0.98746929677879702</v>
      </c>
    </row>
    <row r="59" spans="1:15" x14ac:dyDescent="0.25">
      <c r="A59" s="2">
        <v>57</v>
      </c>
      <c r="B59" s="33">
        <f>TPR($B$1,$A59,dr)</f>
        <v>0.9679763886284416</v>
      </c>
      <c r="C59" s="33">
        <f>TPR($C$1,$A59,dr)</f>
        <v>0.96865972683057566</v>
      </c>
      <c r="D59" s="33">
        <f t="shared" si="0"/>
        <v>0.97114497217569651</v>
      </c>
      <c r="E59" s="33">
        <f t="shared" si="1"/>
        <v>0.9729522514031721</v>
      </c>
      <c r="F59" s="33">
        <f t="shared" si="2"/>
        <v>0.97477060069566113</v>
      </c>
      <c r="G59" s="33">
        <f t="shared" si="3"/>
        <v>0.97592438981047158</v>
      </c>
      <c r="H59" s="33">
        <f t="shared" si="4"/>
        <v>0.97659027992731273</v>
      </c>
      <c r="I59" s="33">
        <f t="shared" si="5"/>
        <v>0.97789350089756222</v>
      </c>
      <c r="J59" s="33">
        <f t="shared" si="6"/>
        <v>0.97938800460033493</v>
      </c>
      <c r="K59" s="33">
        <f t="shared" si="7"/>
        <v>0.98068251466751555</v>
      </c>
      <c r="L59" s="33">
        <f t="shared" si="8"/>
        <v>0.98221259210271772</v>
      </c>
      <c r="M59" s="33">
        <f t="shared" si="9"/>
        <v>0.98368656877523597</v>
      </c>
      <c r="N59" s="33">
        <f t="shared" si="10"/>
        <v>0.98437118584292316</v>
      </c>
      <c r="O59" s="33">
        <f t="shared" si="11"/>
        <v>0.98528398486441493</v>
      </c>
    </row>
    <row r="60" spans="1:15" x14ac:dyDescent="0.25">
      <c r="A60" s="2">
        <v>58</v>
      </c>
      <c r="B60" s="33">
        <f>TPR($B$1,$A60,dr)</f>
        <v>0.96329340945642594</v>
      </c>
      <c r="C60" s="33">
        <f>TPR($C$1,$A60,dr)</f>
        <v>0.96404631193424606</v>
      </c>
      <c r="D60" s="33">
        <f t="shared" si="0"/>
        <v>0.9667820681495114</v>
      </c>
      <c r="E60" s="33">
        <f t="shared" si="1"/>
        <v>0.96904292442781448</v>
      </c>
      <c r="F60" s="33">
        <f t="shared" si="2"/>
        <v>0.97094749736953101</v>
      </c>
      <c r="G60" s="33">
        <f t="shared" si="3"/>
        <v>0.97233197555986306</v>
      </c>
      <c r="H60" s="33">
        <f t="shared" si="4"/>
        <v>0.973156717233985</v>
      </c>
      <c r="I60" s="33">
        <f t="shared" si="5"/>
        <v>0.9747454967978848</v>
      </c>
      <c r="J60" s="33">
        <f t="shared" si="6"/>
        <v>0.97635731926291303</v>
      </c>
      <c r="K60" s="33">
        <f t="shared" si="7"/>
        <v>0.97777345009249328</v>
      </c>
      <c r="L60" s="33">
        <f t="shared" si="8"/>
        <v>0.97973171215680632</v>
      </c>
      <c r="M60" s="33">
        <f t="shared" si="9"/>
        <v>0.98107863264441553</v>
      </c>
      <c r="N60" s="33">
        <f t="shared" si="10"/>
        <v>0.981918172567952</v>
      </c>
      <c r="O60" s="33">
        <f t="shared" si="11"/>
        <v>0.98314987780966667</v>
      </c>
    </row>
    <row r="61" spans="1:15" x14ac:dyDescent="0.25">
      <c r="A61" s="2">
        <v>59</v>
      </c>
      <c r="B61" s="33">
        <f>TPR($B$1,$A61,dr)</f>
        <v>0.95833774057408161</v>
      </c>
      <c r="C61" s="33">
        <f>TPR($C$1,$A61,dr)</f>
        <v>0.96029290468570694</v>
      </c>
      <c r="D61" s="33">
        <f t="shared" si="0"/>
        <v>0.96283041037721795</v>
      </c>
      <c r="E61" s="33">
        <f t="shared" si="1"/>
        <v>0.96517702517650172</v>
      </c>
      <c r="F61" s="33">
        <f t="shared" si="2"/>
        <v>0.96702636988995183</v>
      </c>
      <c r="G61" s="33">
        <f t="shared" si="3"/>
        <v>0.96866996591521903</v>
      </c>
      <c r="H61" s="33">
        <f t="shared" si="4"/>
        <v>0.96963934661833084</v>
      </c>
      <c r="I61" s="33">
        <f t="shared" si="5"/>
        <v>0.97137384878727018</v>
      </c>
      <c r="J61" s="33">
        <f t="shared" si="6"/>
        <v>0.97323164259780581</v>
      </c>
      <c r="K61" s="33">
        <f t="shared" si="7"/>
        <v>0.97484749133697057</v>
      </c>
      <c r="L61" s="33">
        <f t="shared" si="8"/>
        <v>0.97723325251326187</v>
      </c>
      <c r="M61" s="33">
        <f t="shared" si="9"/>
        <v>0.97871030832524686</v>
      </c>
      <c r="N61" s="33">
        <f t="shared" si="10"/>
        <v>0.97971732399235689</v>
      </c>
      <c r="O61" s="33">
        <f t="shared" si="11"/>
        <v>0.98123139808446813</v>
      </c>
    </row>
    <row r="62" spans="1:15" x14ac:dyDescent="0.25">
      <c r="A62" s="2">
        <v>60</v>
      </c>
      <c r="B62" s="33">
        <f>TPR($B$1,$A62,dr)</f>
        <v>0.9534835363293791</v>
      </c>
      <c r="C62" s="33">
        <f>TPR($C$1,$A62,dr)</f>
        <v>0.95632909552930001</v>
      </c>
      <c r="D62" s="33">
        <f t="shared" si="0"/>
        <v>0.95918626521184913</v>
      </c>
      <c r="E62" s="33">
        <f t="shared" si="1"/>
        <v>0.96151372654616241</v>
      </c>
      <c r="F62" s="33">
        <f t="shared" si="2"/>
        <v>0.96320855295304442</v>
      </c>
      <c r="G62" s="33">
        <f t="shared" si="3"/>
        <v>0.96503068120974111</v>
      </c>
      <c r="H62" s="33">
        <f t="shared" si="4"/>
        <v>0.9662360656565977</v>
      </c>
      <c r="I62" s="33">
        <f t="shared" si="5"/>
        <v>0.96821961614502994</v>
      </c>
      <c r="J62" s="33">
        <f t="shared" si="6"/>
        <v>0.97008907064488525</v>
      </c>
      <c r="K62" s="33">
        <f t="shared" si="7"/>
        <v>0.97178740370113026</v>
      </c>
      <c r="L62" s="33">
        <f t="shared" si="8"/>
        <v>0.97469076450990744</v>
      </c>
      <c r="M62" s="33">
        <f t="shared" si="9"/>
        <v>0.97657832229088126</v>
      </c>
      <c r="N62" s="33">
        <f t="shared" si="10"/>
        <v>0.97754223467746826</v>
      </c>
      <c r="O62" s="33">
        <f t="shared" si="11"/>
        <v>0.97918356635571735</v>
      </c>
    </row>
    <row r="63" spans="1:15" x14ac:dyDescent="0.25">
      <c r="A63" s="2">
        <v>61</v>
      </c>
      <c r="B63" s="33">
        <f>TPR($B$1,$A63,dr)</f>
        <v>0.94848059630076897</v>
      </c>
      <c r="C63" s="33">
        <f>TPR($C$1,$A63,dr)</f>
        <v>0.95170470137527774</v>
      </c>
      <c r="D63" s="33">
        <f t="shared" si="0"/>
        <v>0.95525929345851879</v>
      </c>
      <c r="E63" s="33">
        <f t="shared" si="1"/>
        <v>0.95771133151288224</v>
      </c>
      <c r="F63" s="33">
        <f t="shared" si="2"/>
        <v>0.95925348278381994</v>
      </c>
      <c r="G63" s="33">
        <f t="shared" si="3"/>
        <v>0.96132004948143468</v>
      </c>
      <c r="H63" s="33">
        <f t="shared" si="4"/>
        <v>0.96300699974396009</v>
      </c>
      <c r="I63" s="33">
        <f t="shared" si="5"/>
        <v>0.96506434765102111</v>
      </c>
      <c r="J63" s="33">
        <f t="shared" si="6"/>
        <v>0.96704514933036057</v>
      </c>
      <c r="K63" s="33">
        <f t="shared" si="7"/>
        <v>0.96894478239752013</v>
      </c>
      <c r="L63" s="33">
        <f t="shared" si="8"/>
        <v>0.97200342901663406</v>
      </c>
      <c r="M63" s="33">
        <f t="shared" si="9"/>
        <v>0.97403097127009153</v>
      </c>
      <c r="N63" s="33">
        <f t="shared" si="10"/>
        <v>0.9751200258243502</v>
      </c>
      <c r="O63" s="33">
        <f t="shared" si="11"/>
        <v>0.97709474888913617</v>
      </c>
    </row>
    <row r="64" spans="1:15" x14ac:dyDescent="0.25">
      <c r="A64" s="2">
        <v>62</v>
      </c>
      <c r="B64" s="33">
        <f>TPR($B$1,$A64,dr)</f>
        <v>0.94383086268011829</v>
      </c>
      <c r="C64" s="33">
        <f>TPR($C$1,$A64,dr)</f>
        <v>0.94691671561604851</v>
      </c>
      <c r="D64" s="33">
        <f t="shared" si="0"/>
        <v>0.95096793212252773</v>
      </c>
      <c r="E64" s="33">
        <f t="shared" si="1"/>
        <v>0.95369806544145364</v>
      </c>
      <c r="F64" s="33">
        <f t="shared" si="2"/>
        <v>0.95539597543834731</v>
      </c>
      <c r="G64" s="33">
        <f t="shared" si="3"/>
        <v>0.95768282823761453</v>
      </c>
      <c r="H64" s="33">
        <f t="shared" si="4"/>
        <v>0.95956281149300893</v>
      </c>
      <c r="I64" s="33">
        <f t="shared" si="5"/>
        <v>0.96187455950374423</v>
      </c>
      <c r="J64" s="33">
        <f t="shared" si="6"/>
        <v>0.96394703864701425</v>
      </c>
      <c r="K64" s="33">
        <f t="shared" si="7"/>
        <v>0.96630120755371418</v>
      </c>
      <c r="L64" s="33">
        <f t="shared" si="8"/>
        <v>0.96929261891433283</v>
      </c>
      <c r="M64" s="33">
        <f t="shared" si="9"/>
        <v>0.97143396805277094</v>
      </c>
      <c r="N64" s="33">
        <f t="shared" si="10"/>
        <v>0.972682486295531</v>
      </c>
      <c r="O64" s="33">
        <f t="shared" si="11"/>
        <v>0.97499059306373981</v>
      </c>
    </row>
    <row r="65" spans="1:15" x14ac:dyDescent="0.25">
      <c r="A65" s="2">
        <v>63</v>
      </c>
      <c r="B65" s="33">
        <f>TPR($B$1,$A65,dr)</f>
        <v>0.93915870160831638</v>
      </c>
      <c r="C65" s="33">
        <f>TPR($C$1,$A65,dr)</f>
        <v>0.94271962325799874</v>
      </c>
      <c r="D65" s="33">
        <f t="shared" si="0"/>
        <v>0.94701372080786284</v>
      </c>
      <c r="E65" s="33">
        <f t="shared" si="1"/>
        <v>0.94982190688870149</v>
      </c>
      <c r="F65" s="33">
        <f t="shared" si="2"/>
        <v>0.95195098080102791</v>
      </c>
      <c r="G65" s="33">
        <f t="shared" si="3"/>
        <v>0.95427382245730341</v>
      </c>
      <c r="H65" s="33">
        <f t="shared" si="4"/>
        <v>0.95603615495267413</v>
      </c>
      <c r="I65" s="33">
        <f t="shared" si="5"/>
        <v>0.95854666549584966</v>
      </c>
      <c r="J65" s="33">
        <f t="shared" si="6"/>
        <v>0.96101960906158657</v>
      </c>
      <c r="K65" s="33">
        <f t="shared" si="7"/>
        <v>0.96349363171591784</v>
      </c>
      <c r="L65" s="33">
        <f t="shared" si="8"/>
        <v>0.96657541377381562</v>
      </c>
      <c r="M65" s="33">
        <f t="shared" si="9"/>
        <v>0.96910187656402336</v>
      </c>
      <c r="N65" s="33">
        <f t="shared" si="10"/>
        <v>0.97057943029689731</v>
      </c>
      <c r="O65" s="33">
        <f t="shared" si="11"/>
        <v>0.97295362110269068</v>
      </c>
    </row>
    <row r="66" spans="1:15" x14ac:dyDescent="0.25">
      <c r="A66" s="2">
        <v>64</v>
      </c>
      <c r="B66" s="33">
        <f>TPR($B$1,$A66,dr)</f>
        <v>0.93471636527359026</v>
      </c>
      <c r="C66" s="33">
        <f>TPR($C$1,$A66,dr)</f>
        <v>0.93874805039868858</v>
      </c>
      <c r="D66" s="33">
        <f t="shared" ref="D66:D129" si="12">TPR($D$1,$A66,dr)</f>
        <v>0.94319179488980698</v>
      </c>
      <c r="E66" s="33">
        <f t="shared" ref="E66:E129" si="13">TPR($E$1,$A66,dr)</f>
        <v>0.94613401039742484</v>
      </c>
      <c r="F66" s="33">
        <f t="shared" ref="F66:F129" si="14">TPR($F$1,$A66,dr)</f>
        <v>0.9486469021857401</v>
      </c>
      <c r="G66" s="33">
        <f t="shared" ref="G66:G129" si="15">TPR($G$1,$A66,dr)</f>
        <v>0.95097229017944263</v>
      </c>
      <c r="H66" s="33">
        <f t="shared" ref="H66:H129" si="16">TPR($H$1,$A66,dr)</f>
        <v>0.95273631235854628</v>
      </c>
      <c r="I66" s="33">
        <f t="shared" ref="I66:I129" si="17">TPR($I$1,$A66,dr)</f>
        <v>0.955390677539116</v>
      </c>
      <c r="J66" s="33">
        <f t="shared" ref="J66:J129" si="18">TPR($J$1,$A66,dr)</f>
        <v>0.95811429241200907</v>
      </c>
      <c r="K66" s="33">
        <f t="shared" ref="K66:K129" si="19">TPR($K$1,$A66,dr)</f>
        <v>0.96042409090803749</v>
      </c>
      <c r="L66" s="33">
        <f t="shared" ref="L66:L129" si="20">TPR($L$1,$A66,dr)</f>
        <v>0.96420392633993646</v>
      </c>
      <c r="M66" s="33">
        <f t="shared" ref="M66:M129" si="21">TPR($M$1,$A66,dr)</f>
        <v>0.9670102425479794</v>
      </c>
      <c r="N66" s="33">
        <f t="shared" ref="N66:N129" si="22">TPR($N$1,$A66,dr)</f>
        <v>0.96865379392250839</v>
      </c>
      <c r="O66" s="33">
        <f t="shared" ref="O66:O129" si="23">TPR($O$1,$A66,dr)</f>
        <v>0.97095998936658157</v>
      </c>
    </row>
    <row r="67" spans="1:15" x14ac:dyDescent="0.25">
      <c r="A67" s="2">
        <v>65</v>
      </c>
      <c r="B67" s="33">
        <f>TPR($B$1,$A67,dr)</f>
        <v>0.93025247903637065</v>
      </c>
      <c r="C67" s="33">
        <f>TPR($C$1,$A67,dr)</f>
        <v>0.93455053841569258</v>
      </c>
      <c r="D67" s="33">
        <f t="shared" si="12"/>
        <v>0.9390106449560971</v>
      </c>
      <c r="E67" s="33">
        <f t="shared" si="13"/>
        <v>0.942314359885986</v>
      </c>
      <c r="F67" s="33">
        <f t="shared" si="14"/>
        <v>0.94493549051967396</v>
      </c>
      <c r="G67" s="33">
        <f t="shared" si="15"/>
        <v>0.9473999578582657</v>
      </c>
      <c r="H67" s="33">
        <f t="shared" si="16"/>
        <v>0.94953915627999164</v>
      </c>
      <c r="I67" s="33">
        <f t="shared" si="17"/>
        <v>0.95245742147886003</v>
      </c>
      <c r="J67" s="33">
        <f t="shared" si="18"/>
        <v>0.9550504594576763</v>
      </c>
      <c r="K67" s="33">
        <f t="shared" si="19"/>
        <v>0.95756301740783423</v>
      </c>
      <c r="L67" s="33">
        <f t="shared" si="20"/>
        <v>0.96174825872613057</v>
      </c>
      <c r="M67" s="33">
        <f t="shared" si="21"/>
        <v>0.96475259774738964</v>
      </c>
      <c r="N67" s="33">
        <f t="shared" si="22"/>
        <v>0.96652229211542584</v>
      </c>
      <c r="O67" s="33">
        <f t="shared" si="23"/>
        <v>0.96889868875823237</v>
      </c>
    </row>
    <row r="68" spans="1:15" x14ac:dyDescent="0.25">
      <c r="A68" s="2">
        <v>66</v>
      </c>
      <c r="B68" s="33">
        <f>TPR($B$1,$A68,dr)</f>
        <v>0.92589362622880256</v>
      </c>
      <c r="C68" s="33">
        <f>TPR($C$1,$A68,dr)</f>
        <v>0.93045604456325992</v>
      </c>
      <c r="D68" s="33">
        <f t="shared" si="12"/>
        <v>0.93474754228809509</v>
      </c>
      <c r="E68" s="33">
        <f t="shared" si="13"/>
        <v>0.93834870202579646</v>
      </c>
      <c r="F68" s="33">
        <f t="shared" si="14"/>
        <v>0.94108502249193893</v>
      </c>
      <c r="G68" s="33">
        <f t="shared" si="15"/>
        <v>0.94375402957156629</v>
      </c>
      <c r="H68" s="33">
        <f t="shared" si="16"/>
        <v>0.94613596138877321</v>
      </c>
      <c r="I68" s="33">
        <f t="shared" si="17"/>
        <v>0.94947988509357872</v>
      </c>
      <c r="J68" s="33">
        <f t="shared" si="18"/>
        <v>0.95209224115675328</v>
      </c>
      <c r="K68" s="33">
        <f t="shared" si="19"/>
        <v>0.95504739434971508</v>
      </c>
      <c r="L68" s="33">
        <f t="shared" si="20"/>
        <v>0.95921550308723535</v>
      </c>
      <c r="M68" s="33">
        <f t="shared" si="21"/>
        <v>0.96224528650694185</v>
      </c>
      <c r="N68" s="33">
        <f t="shared" si="22"/>
        <v>0.96399472143867804</v>
      </c>
      <c r="O68" s="33">
        <f t="shared" si="23"/>
        <v>0.96670910689319922</v>
      </c>
    </row>
    <row r="69" spans="1:15" x14ac:dyDescent="0.25">
      <c r="A69" s="2">
        <v>67</v>
      </c>
      <c r="B69" s="33">
        <f>TPR($B$1,$A69,dr)</f>
        <v>0.92176733716404613</v>
      </c>
      <c r="C69" s="33">
        <f>TPR($C$1,$A69,dr)</f>
        <v>0.92638728265903214</v>
      </c>
      <c r="D69" s="33">
        <f t="shared" si="12"/>
        <v>0.93093018783134174</v>
      </c>
      <c r="E69" s="33">
        <f t="shared" si="13"/>
        <v>0.93463634551618691</v>
      </c>
      <c r="F69" s="33">
        <f t="shared" si="14"/>
        <v>0.93741472408890159</v>
      </c>
      <c r="G69" s="33">
        <f t="shared" si="15"/>
        <v>0.94025982977863098</v>
      </c>
      <c r="H69" s="33">
        <f t="shared" si="16"/>
        <v>0.94259400839497376</v>
      </c>
      <c r="I69" s="33">
        <f t="shared" si="17"/>
        <v>0.94628676680787849</v>
      </c>
      <c r="J69" s="33">
        <f t="shared" si="18"/>
        <v>0.94915025464180769</v>
      </c>
      <c r="K69" s="33">
        <f t="shared" si="19"/>
        <v>0.95246720223137682</v>
      </c>
      <c r="L69" s="33">
        <f t="shared" si="20"/>
        <v>0.95664137507010283</v>
      </c>
      <c r="M69" s="33">
        <f t="shared" si="21"/>
        <v>0.95956100442341608</v>
      </c>
      <c r="N69" s="33">
        <f t="shared" si="22"/>
        <v>0.96143876453512167</v>
      </c>
      <c r="O69" s="33">
        <f t="shared" si="23"/>
        <v>0.96426983017448853</v>
      </c>
    </row>
    <row r="70" spans="1:15" x14ac:dyDescent="0.25">
      <c r="A70" s="2">
        <v>68</v>
      </c>
      <c r="B70" s="33">
        <f>TPR($B$1,$A70,dr)</f>
        <v>0.91774791225003716</v>
      </c>
      <c r="C70" s="33">
        <f>TPR($C$1,$A70,dr)</f>
        <v>0.92201840142355174</v>
      </c>
      <c r="D70" s="33">
        <f t="shared" si="12"/>
        <v>0.92708981231912613</v>
      </c>
      <c r="E70" s="33">
        <f t="shared" si="13"/>
        <v>0.93119632339479563</v>
      </c>
      <c r="F70" s="33">
        <f t="shared" si="14"/>
        <v>0.93394159756009221</v>
      </c>
      <c r="G70" s="33">
        <f t="shared" si="15"/>
        <v>0.93673167808917901</v>
      </c>
      <c r="H70" s="33">
        <f t="shared" si="16"/>
        <v>0.93903701290884756</v>
      </c>
      <c r="I70" s="33">
        <f t="shared" si="17"/>
        <v>0.94294497988291071</v>
      </c>
      <c r="J70" s="33">
        <f t="shared" si="18"/>
        <v>0.94602721630722897</v>
      </c>
      <c r="K70" s="33">
        <f t="shared" si="19"/>
        <v>0.94958738247344454</v>
      </c>
      <c r="L70" s="33">
        <f t="shared" si="20"/>
        <v>0.95405239758032101</v>
      </c>
      <c r="M70" s="33">
        <f t="shared" si="21"/>
        <v>0.95690052252998758</v>
      </c>
      <c r="N70" s="33">
        <f t="shared" si="22"/>
        <v>0.95901140209836178</v>
      </c>
      <c r="O70" s="33">
        <f t="shared" si="23"/>
        <v>0.96205084337369362</v>
      </c>
    </row>
    <row r="71" spans="1:15" x14ac:dyDescent="0.25">
      <c r="A71" s="2">
        <v>69</v>
      </c>
      <c r="B71" s="33">
        <f>TPR($B$1,$A71,dr)</f>
        <v>0.91383603253441414</v>
      </c>
      <c r="C71" s="33">
        <f>TPR($C$1,$A71,dr)</f>
        <v>0.91785792957906565</v>
      </c>
      <c r="D71" s="33">
        <f t="shared" si="12"/>
        <v>0.92319715039652839</v>
      </c>
      <c r="E71" s="33">
        <f t="shared" si="13"/>
        <v>0.92752979576990668</v>
      </c>
      <c r="F71" s="33">
        <f t="shared" si="14"/>
        <v>0.93013361168803643</v>
      </c>
      <c r="G71" s="33">
        <f t="shared" si="15"/>
        <v>0.93302067429948699</v>
      </c>
      <c r="H71" s="33">
        <f t="shared" si="16"/>
        <v>0.93563974564149544</v>
      </c>
      <c r="I71" s="33">
        <f t="shared" si="17"/>
        <v>0.9395363423003088</v>
      </c>
      <c r="J71" s="33">
        <f t="shared" si="18"/>
        <v>0.94279376477904675</v>
      </c>
      <c r="K71" s="33">
        <f t="shared" si="19"/>
        <v>0.94644793479687583</v>
      </c>
      <c r="L71" s="33">
        <f t="shared" si="20"/>
        <v>0.95144355337125852</v>
      </c>
      <c r="M71" s="33">
        <f t="shared" si="21"/>
        <v>0.95450595251757919</v>
      </c>
      <c r="N71" s="33">
        <f t="shared" si="22"/>
        <v>0.95677443464905421</v>
      </c>
      <c r="O71" s="33">
        <f t="shared" si="23"/>
        <v>0.95993606526120245</v>
      </c>
    </row>
    <row r="72" spans="1:15" x14ac:dyDescent="0.25">
      <c r="A72" s="2">
        <v>70</v>
      </c>
      <c r="B72" s="33">
        <f>TPR($B$1,$A72,dr)</f>
        <v>0.90977725210184535</v>
      </c>
      <c r="C72" s="33">
        <f>TPR($C$1,$A72,dr)</f>
        <v>0.91405892757563578</v>
      </c>
      <c r="D72" s="33">
        <f t="shared" si="12"/>
        <v>0.91941307554844265</v>
      </c>
      <c r="E72" s="33">
        <f t="shared" si="13"/>
        <v>0.92359448307724468</v>
      </c>
      <c r="F72" s="33">
        <f t="shared" si="14"/>
        <v>0.92616625205277747</v>
      </c>
      <c r="G72" s="33">
        <f t="shared" si="15"/>
        <v>0.929286700370486</v>
      </c>
      <c r="H72" s="33">
        <f t="shared" si="16"/>
        <v>0.9322218173556106</v>
      </c>
      <c r="I72" s="33">
        <f t="shared" si="17"/>
        <v>0.93635628532607817</v>
      </c>
      <c r="J72" s="33">
        <f t="shared" si="18"/>
        <v>0.93982730326403296</v>
      </c>
      <c r="K72" s="33">
        <f t="shared" si="19"/>
        <v>0.94353200465383857</v>
      </c>
      <c r="L72" s="33">
        <f t="shared" si="20"/>
        <v>0.94870204023303761</v>
      </c>
      <c r="M72" s="33">
        <f t="shared" si="21"/>
        <v>0.95217963005392237</v>
      </c>
      <c r="N72" s="33">
        <f t="shared" si="22"/>
        <v>0.9544710340098379</v>
      </c>
      <c r="O72" s="33">
        <f t="shared" si="23"/>
        <v>0.95766019715099604</v>
      </c>
    </row>
    <row r="73" spans="1:15" x14ac:dyDescent="0.25">
      <c r="A73" s="2">
        <v>71</v>
      </c>
      <c r="B73" s="33">
        <f>TPR($B$1,$A73,dr)</f>
        <v>0.90569863064957135</v>
      </c>
      <c r="C73" s="33">
        <f>TPR($C$1,$A73,dr)</f>
        <v>0.91003790523487571</v>
      </c>
      <c r="D73" s="33">
        <f t="shared" si="12"/>
        <v>0.91572839516506033</v>
      </c>
      <c r="E73" s="33">
        <f t="shared" si="13"/>
        <v>0.91980687555011298</v>
      </c>
      <c r="F73" s="33">
        <f t="shared" si="14"/>
        <v>0.92245038245654254</v>
      </c>
      <c r="G73" s="33">
        <f t="shared" si="15"/>
        <v>0.92569980851395428</v>
      </c>
      <c r="H73" s="33">
        <f t="shared" si="16"/>
        <v>0.92872603786090513</v>
      </c>
      <c r="I73" s="33">
        <f t="shared" si="17"/>
        <v>0.93319951368184195</v>
      </c>
      <c r="J73" s="33">
        <f t="shared" si="18"/>
        <v>0.93689057395837327</v>
      </c>
      <c r="K73" s="33">
        <f t="shared" si="19"/>
        <v>0.94100151276953603</v>
      </c>
      <c r="L73" s="33">
        <f t="shared" si="20"/>
        <v>0.94618941069142615</v>
      </c>
      <c r="M73" s="33">
        <f t="shared" si="21"/>
        <v>0.94987510486396354</v>
      </c>
      <c r="N73" s="33">
        <f t="shared" si="22"/>
        <v>0.95222802257969785</v>
      </c>
      <c r="O73" s="33">
        <f t="shared" si="23"/>
        <v>0.95548799556156583</v>
      </c>
    </row>
    <row r="74" spans="1:15" x14ac:dyDescent="0.25">
      <c r="A74" s="2">
        <v>72</v>
      </c>
      <c r="B74" s="33">
        <f>TPR($B$1,$A74,dr)</f>
        <v>0.90121601944972407</v>
      </c>
      <c r="C74" s="33">
        <f>TPR($C$1,$A74,dr)</f>
        <v>0.90582017238278634</v>
      </c>
      <c r="D74" s="33">
        <f t="shared" si="12"/>
        <v>0.91171488971372916</v>
      </c>
      <c r="E74" s="33">
        <f t="shared" si="13"/>
        <v>0.91587889350006524</v>
      </c>
      <c r="F74" s="33">
        <f t="shared" si="14"/>
        <v>0.91886052233924709</v>
      </c>
      <c r="G74" s="33">
        <f t="shared" si="15"/>
        <v>0.92227492697406666</v>
      </c>
      <c r="H74" s="33">
        <f t="shared" si="16"/>
        <v>0.92538935253409638</v>
      </c>
      <c r="I74" s="33">
        <f t="shared" si="17"/>
        <v>0.92994365615685093</v>
      </c>
      <c r="J74" s="33">
        <f t="shared" si="18"/>
        <v>0.93376794812697461</v>
      </c>
      <c r="K74" s="33">
        <f t="shared" si="19"/>
        <v>0.93825341560396169</v>
      </c>
      <c r="L74" s="33">
        <f t="shared" si="20"/>
        <v>0.94351315546746772</v>
      </c>
      <c r="M74" s="33">
        <f t="shared" si="21"/>
        <v>0.9475932132978564</v>
      </c>
      <c r="N74" s="33">
        <f t="shared" si="22"/>
        <v>0.94995011676823193</v>
      </c>
      <c r="O74" s="33">
        <f t="shared" si="23"/>
        <v>0.95327036797414266</v>
      </c>
    </row>
    <row r="75" spans="1:15" x14ac:dyDescent="0.25">
      <c r="A75" s="2">
        <v>73</v>
      </c>
      <c r="B75" s="33">
        <f>TPR($B$1,$A75,dr)</f>
        <v>0.89658380139781857</v>
      </c>
      <c r="C75" s="33">
        <f>TPR($C$1,$A75,dr)</f>
        <v>0.90195769095221023</v>
      </c>
      <c r="D75" s="33">
        <f t="shared" si="12"/>
        <v>0.90754383444175879</v>
      </c>
      <c r="E75" s="33">
        <f t="shared" si="13"/>
        <v>0.91155904937210996</v>
      </c>
      <c r="F75" s="33">
        <f t="shared" si="14"/>
        <v>0.91502363032371281</v>
      </c>
      <c r="G75" s="33">
        <f t="shared" si="15"/>
        <v>0.9187758316725011</v>
      </c>
      <c r="H75" s="33">
        <f t="shared" si="16"/>
        <v>0.92208801528773376</v>
      </c>
      <c r="I75" s="33">
        <f t="shared" si="17"/>
        <v>0.92663339241478115</v>
      </c>
      <c r="J75" s="33">
        <f t="shared" si="18"/>
        <v>0.93057736891362042</v>
      </c>
      <c r="K75" s="33">
        <f t="shared" si="19"/>
        <v>0.93524976091810097</v>
      </c>
      <c r="L75" s="33">
        <f t="shared" si="20"/>
        <v>0.94089963100343932</v>
      </c>
      <c r="M75" s="33">
        <f t="shared" si="21"/>
        <v>0.94521676702355972</v>
      </c>
      <c r="N75" s="33">
        <f t="shared" si="22"/>
        <v>0.94749542462627945</v>
      </c>
      <c r="O75" s="33">
        <f t="shared" si="23"/>
        <v>0.95100588288713506</v>
      </c>
    </row>
    <row r="76" spans="1:15" x14ac:dyDescent="0.25">
      <c r="A76" s="2">
        <v>74</v>
      </c>
      <c r="B76" s="33">
        <f>TPR($B$1,$A76,dr)</f>
        <v>0.8919297457634926</v>
      </c>
      <c r="C76" s="33">
        <f>TPR($C$1,$A76,dr)</f>
        <v>0.89787064174980769</v>
      </c>
      <c r="D76" s="33">
        <f t="shared" si="12"/>
        <v>0.90347064006385336</v>
      </c>
      <c r="E76" s="33">
        <f t="shared" si="13"/>
        <v>0.9072228235984432</v>
      </c>
      <c r="F76" s="33">
        <f t="shared" si="14"/>
        <v>0.91110919304199944</v>
      </c>
      <c r="G76" s="33">
        <f t="shared" si="15"/>
        <v>0.91519559147218055</v>
      </c>
      <c r="H76" s="33">
        <f t="shared" si="16"/>
        <v>0.91853262211132725</v>
      </c>
      <c r="I76" s="33">
        <f t="shared" si="17"/>
        <v>0.92326349745481295</v>
      </c>
      <c r="J76" s="33">
        <f t="shared" si="18"/>
        <v>0.92755867053547159</v>
      </c>
      <c r="K76" s="33">
        <f t="shared" si="19"/>
        <v>0.93239213401473797</v>
      </c>
      <c r="L76" s="33">
        <f t="shared" si="20"/>
        <v>0.93830151838329201</v>
      </c>
      <c r="M76" s="33">
        <f t="shared" si="21"/>
        <v>0.94282577364083198</v>
      </c>
      <c r="N76" s="33">
        <f t="shared" si="22"/>
        <v>0.94530861788307052</v>
      </c>
      <c r="O76" s="33">
        <f t="shared" si="23"/>
        <v>0.94902795045329014</v>
      </c>
    </row>
    <row r="77" spans="1:15" x14ac:dyDescent="0.25">
      <c r="A77" s="2">
        <v>75</v>
      </c>
      <c r="B77" s="33">
        <f>TPR($B$1,$A77,dr)</f>
        <v>0.88738257454657488</v>
      </c>
      <c r="C77" s="33">
        <f>TPR($C$1,$A77,dr)</f>
        <v>0.89358641890519874</v>
      </c>
      <c r="D77" s="33">
        <f t="shared" si="12"/>
        <v>0.89940004954416608</v>
      </c>
      <c r="E77" s="33">
        <f t="shared" si="13"/>
        <v>0.90339992335484798</v>
      </c>
      <c r="F77" s="33">
        <f t="shared" si="14"/>
        <v>0.90754962058193711</v>
      </c>
      <c r="G77" s="33">
        <f t="shared" si="15"/>
        <v>0.91184807108087707</v>
      </c>
      <c r="H77" s="33">
        <f t="shared" si="16"/>
        <v>0.91521735066489762</v>
      </c>
      <c r="I77" s="33">
        <f t="shared" si="17"/>
        <v>0.92015616152470259</v>
      </c>
      <c r="J77" s="33">
        <f t="shared" si="18"/>
        <v>0.92481248871868182</v>
      </c>
      <c r="K77" s="33">
        <f t="shared" si="19"/>
        <v>0.92968296541709838</v>
      </c>
      <c r="L77" s="33">
        <f t="shared" si="20"/>
        <v>0.93563373709572373</v>
      </c>
      <c r="M77" s="33">
        <f t="shared" si="21"/>
        <v>0.940300584778336</v>
      </c>
      <c r="N77" s="33">
        <f t="shared" si="22"/>
        <v>0.9430565892912034</v>
      </c>
      <c r="O77" s="33">
        <f t="shared" si="23"/>
        <v>0.94703710389632045</v>
      </c>
    </row>
    <row r="78" spans="1:15" x14ac:dyDescent="0.25">
      <c r="A78" s="2">
        <v>76</v>
      </c>
      <c r="B78" s="33">
        <f>TPR($B$1,$A78,dr)</f>
        <v>0.88294297144816991</v>
      </c>
      <c r="C78" s="33">
        <f>TPR($C$1,$A78,dr)</f>
        <v>0.88930745293407143</v>
      </c>
      <c r="D78" s="33">
        <f t="shared" si="12"/>
        <v>0.89530901988567191</v>
      </c>
      <c r="E78" s="33">
        <f t="shared" si="13"/>
        <v>0.89971782815313139</v>
      </c>
      <c r="F78" s="33">
        <f t="shared" si="14"/>
        <v>0.90400350732211443</v>
      </c>
      <c r="G78" s="33">
        <f t="shared" si="15"/>
        <v>0.90842118205896294</v>
      </c>
      <c r="H78" s="33">
        <f t="shared" si="16"/>
        <v>0.91204731497428282</v>
      </c>
      <c r="I78" s="33">
        <f t="shared" si="17"/>
        <v>0.91715903322241921</v>
      </c>
      <c r="J78" s="33">
        <f t="shared" si="18"/>
        <v>0.92183795236456789</v>
      </c>
      <c r="K78" s="33">
        <f t="shared" si="19"/>
        <v>0.92698965401498923</v>
      </c>
      <c r="L78" s="33">
        <f t="shared" si="20"/>
        <v>0.93319107034512438</v>
      </c>
      <c r="M78" s="33">
        <f t="shared" si="21"/>
        <v>0.93768999211867898</v>
      </c>
      <c r="N78" s="33">
        <f t="shared" si="22"/>
        <v>0.94061772733033522</v>
      </c>
      <c r="O78" s="33">
        <f t="shared" si="23"/>
        <v>0.94508502692998619</v>
      </c>
    </row>
    <row r="79" spans="1:15" x14ac:dyDescent="0.25">
      <c r="A79" s="2">
        <v>77</v>
      </c>
      <c r="B79" s="33">
        <f>TPR($B$1,$A79,dr)</f>
        <v>0.87874085369273081</v>
      </c>
      <c r="C79" s="33">
        <f>TPR($C$1,$A79,dr)</f>
        <v>0.8849620920706166</v>
      </c>
      <c r="D79" s="33">
        <f t="shared" si="12"/>
        <v>0.89152185085548563</v>
      </c>
      <c r="E79" s="33">
        <f t="shared" si="13"/>
        <v>0.89611189083052756</v>
      </c>
      <c r="F79" s="33">
        <f t="shared" si="14"/>
        <v>0.90038784812313932</v>
      </c>
      <c r="G79" s="33">
        <f t="shared" si="15"/>
        <v>0.9048507225166309</v>
      </c>
      <c r="H79" s="33">
        <f t="shared" si="16"/>
        <v>0.90855896266952185</v>
      </c>
      <c r="I79" s="33">
        <f t="shared" si="17"/>
        <v>0.91393656753092223</v>
      </c>
      <c r="J79" s="33">
        <f t="shared" si="18"/>
        <v>0.91865682720546216</v>
      </c>
      <c r="K79" s="33">
        <f t="shared" si="19"/>
        <v>0.9238814890632594</v>
      </c>
      <c r="L79" s="33">
        <f t="shared" si="20"/>
        <v>0.93068229212677445</v>
      </c>
      <c r="M79" s="33">
        <f t="shared" si="21"/>
        <v>0.93511115322360638</v>
      </c>
      <c r="N79" s="33">
        <f t="shared" si="22"/>
        <v>0.93822854502800412</v>
      </c>
      <c r="O79" s="33">
        <f t="shared" si="23"/>
        <v>0.94298251945626688</v>
      </c>
    </row>
    <row r="80" spans="1:15" x14ac:dyDescent="0.25">
      <c r="A80" s="2">
        <v>78</v>
      </c>
      <c r="B80" s="33">
        <f>TPR($B$1,$A80,dr)</f>
        <v>0.87464815379340644</v>
      </c>
      <c r="C80" s="33">
        <f>TPR($C$1,$A80,dr)</f>
        <v>0.88042536503203739</v>
      </c>
      <c r="D80" s="33">
        <f t="shared" si="12"/>
        <v>0.88754802090990925</v>
      </c>
      <c r="E80" s="33">
        <f t="shared" si="13"/>
        <v>0.89252393315601475</v>
      </c>
      <c r="F80" s="33">
        <f t="shared" si="14"/>
        <v>0.89680846813876691</v>
      </c>
      <c r="G80" s="33">
        <f t="shared" si="15"/>
        <v>0.90120153378897194</v>
      </c>
      <c r="H80" s="33">
        <f t="shared" si="16"/>
        <v>0.9048245283748434</v>
      </c>
      <c r="I80" s="33">
        <f t="shared" si="17"/>
        <v>0.9104844214240132</v>
      </c>
      <c r="J80" s="33">
        <f t="shared" si="18"/>
        <v>0.91547686184392596</v>
      </c>
      <c r="K80" s="33">
        <f t="shared" si="19"/>
        <v>0.92080018304574196</v>
      </c>
      <c r="L80" s="33">
        <f t="shared" si="20"/>
        <v>0.9279833717130167</v>
      </c>
      <c r="M80" s="33">
        <f t="shared" si="21"/>
        <v>0.93266556535729472</v>
      </c>
      <c r="N80" s="33">
        <f t="shared" si="22"/>
        <v>0.9358401304526216</v>
      </c>
      <c r="O80" s="33">
        <f t="shared" si="23"/>
        <v>0.9407984661785026</v>
      </c>
    </row>
    <row r="81" spans="1:15" x14ac:dyDescent="0.25">
      <c r="A81" s="2">
        <v>79</v>
      </c>
      <c r="B81" s="33">
        <f>TPR($B$1,$A81,dr)</f>
        <v>0.87079527086780106</v>
      </c>
      <c r="C81" s="33">
        <f>TPR($C$1,$A81,dr)</f>
        <v>0.87632614617171378</v>
      </c>
      <c r="D81" s="33">
        <f t="shared" si="12"/>
        <v>0.88351823219989789</v>
      </c>
      <c r="E81" s="33">
        <f t="shared" si="13"/>
        <v>0.8889845220006084</v>
      </c>
      <c r="F81" s="33">
        <f t="shared" si="14"/>
        <v>0.8931825260310996</v>
      </c>
      <c r="G81" s="33">
        <f t="shared" si="15"/>
        <v>0.89746928601256448</v>
      </c>
      <c r="H81" s="33">
        <f t="shared" si="16"/>
        <v>0.90135063144040373</v>
      </c>
      <c r="I81" s="33">
        <f t="shared" si="17"/>
        <v>0.90726852163377458</v>
      </c>
      <c r="J81" s="33">
        <f t="shared" si="18"/>
        <v>0.91240164695461923</v>
      </c>
      <c r="K81" s="33">
        <f t="shared" si="19"/>
        <v>0.91790140999121228</v>
      </c>
      <c r="L81" s="33">
        <f t="shared" si="20"/>
        <v>0.92525204162400443</v>
      </c>
      <c r="M81" s="33">
        <f t="shared" si="21"/>
        <v>0.93016120010647474</v>
      </c>
      <c r="N81" s="33">
        <f t="shared" si="22"/>
        <v>0.93330356946305548</v>
      </c>
      <c r="O81" s="33">
        <f t="shared" si="23"/>
        <v>0.93836093646782159</v>
      </c>
    </row>
    <row r="82" spans="1:15" x14ac:dyDescent="0.25">
      <c r="A82" s="2">
        <v>80</v>
      </c>
      <c r="B82" s="33">
        <f>TPR($B$1,$A82,dr)</f>
        <v>0.8669237126612892</v>
      </c>
      <c r="C82" s="33">
        <f>TPR($C$1,$A82,dr)</f>
        <v>0.87280730894153258</v>
      </c>
      <c r="D82" s="33">
        <f t="shared" si="12"/>
        <v>0.87960458036452427</v>
      </c>
      <c r="E82" s="33">
        <f t="shared" si="13"/>
        <v>0.88505872984540745</v>
      </c>
      <c r="F82" s="33">
        <f t="shared" si="14"/>
        <v>0.88946200142795961</v>
      </c>
      <c r="G82" s="33">
        <f t="shared" si="15"/>
        <v>0.89396432622175726</v>
      </c>
      <c r="H82" s="33">
        <f t="shared" si="16"/>
        <v>0.89815404189561621</v>
      </c>
      <c r="I82" s="33">
        <f t="shared" si="17"/>
        <v>0.90432688344526613</v>
      </c>
      <c r="J82" s="33">
        <f t="shared" si="18"/>
        <v>0.90935026787169759</v>
      </c>
      <c r="K82" s="33">
        <f t="shared" si="19"/>
        <v>0.91509460622282013</v>
      </c>
      <c r="L82" s="33">
        <f t="shared" si="20"/>
        <v>0.92266229821384815</v>
      </c>
      <c r="M82" s="33">
        <f t="shared" si="21"/>
        <v>0.9277616818565475</v>
      </c>
      <c r="N82" s="33">
        <f t="shared" si="22"/>
        <v>0.93080900124360022</v>
      </c>
      <c r="O82" s="33">
        <f t="shared" si="23"/>
        <v>0.93582384245366712</v>
      </c>
    </row>
    <row r="83" spans="1:15" x14ac:dyDescent="0.25">
      <c r="A83" s="2">
        <v>81</v>
      </c>
      <c r="B83" s="33">
        <f>TPR($B$1,$A83,dr)</f>
        <v>0.86290326107873772</v>
      </c>
      <c r="C83" s="33">
        <f>TPR($C$1,$A83,dr)</f>
        <v>0.86924030005353881</v>
      </c>
      <c r="D83" s="33">
        <f t="shared" si="12"/>
        <v>0.87594445258075138</v>
      </c>
      <c r="E83" s="33">
        <f t="shared" si="13"/>
        <v>0.88093832668775029</v>
      </c>
      <c r="F83" s="33">
        <f t="shared" si="14"/>
        <v>0.88563485068958203</v>
      </c>
      <c r="G83" s="33">
        <f t="shared" si="15"/>
        <v>0.89056963977544612</v>
      </c>
      <c r="H83" s="33">
        <f t="shared" si="16"/>
        <v>0.89483696512957145</v>
      </c>
      <c r="I83" s="33">
        <f t="shared" si="17"/>
        <v>0.90112359078186555</v>
      </c>
      <c r="J83" s="33">
        <f t="shared" si="18"/>
        <v>0.90617561772360533</v>
      </c>
      <c r="K83" s="33">
        <f t="shared" si="19"/>
        <v>0.91211653903878098</v>
      </c>
      <c r="L83" s="33">
        <f t="shared" si="20"/>
        <v>0.91981607397634568</v>
      </c>
      <c r="M83" s="33">
        <f t="shared" si="21"/>
        <v>0.92518043520947701</v>
      </c>
      <c r="N83" s="33">
        <f t="shared" si="22"/>
        <v>0.92844924278846974</v>
      </c>
      <c r="O83" s="33">
        <f t="shared" si="23"/>
        <v>0.93354787984402321</v>
      </c>
    </row>
    <row r="84" spans="1:15" x14ac:dyDescent="0.25">
      <c r="A84" s="2">
        <v>82</v>
      </c>
      <c r="B84" s="33">
        <f>TPR($B$1,$A84,dr)</f>
        <v>0.85899402866415031</v>
      </c>
      <c r="C84" s="33">
        <f>TPR($C$1,$A84,dr)</f>
        <v>0.86558306019664266</v>
      </c>
      <c r="D84" s="33">
        <f t="shared" si="12"/>
        <v>0.8722305396228599</v>
      </c>
      <c r="E84" s="33">
        <f t="shared" si="13"/>
        <v>0.8771960622063063</v>
      </c>
      <c r="F84" s="33">
        <f t="shared" si="14"/>
        <v>0.88206537740630331</v>
      </c>
      <c r="G84" s="33">
        <f t="shared" si="15"/>
        <v>0.88715810609456314</v>
      </c>
      <c r="H84" s="33">
        <f t="shared" si="16"/>
        <v>0.89150169163992865</v>
      </c>
      <c r="I84" s="33">
        <f t="shared" si="17"/>
        <v>0.89798084464935968</v>
      </c>
      <c r="J84" s="33">
        <f t="shared" si="18"/>
        <v>0.90310776912271085</v>
      </c>
      <c r="K84" s="33">
        <f t="shared" si="19"/>
        <v>0.90909151278990297</v>
      </c>
      <c r="L84" s="33">
        <f t="shared" si="20"/>
        <v>0.91700283791077186</v>
      </c>
      <c r="M84" s="33">
        <f t="shared" si="21"/>
        <v>0.92270322268476801</v>
      </c>
      <c r="N84" s="33">
        <f t="shared" si="22"/>
        <v>0.92612989717628258</v>
      </c>
      <c r="O84" s="33">
        <f t="shared" si="23"/>
        <v>0.93142645061867047</v>
      </c>
    </row>
    <row r="85" spans="1:15" x14ac:dyDescent="0.25">
      <c r="A85" s="2">
        <v>83</v>
      </c>
      <c r="B85" s="33">
        <f>TPR($B$1,$A85,dr)</f>
        <v>0.85467402542624726</v>
      </c>
      <c r="C85" s="33">
        <f>TPR($C$1,$A85,dr)</f>
        <v>0.861917077804363</v>
      </c>
      <c r="D85" s="33">
        <f t="shared" si="12"/>
        <v>0.86871646833007021</v>
      </c>
      <c r="E85" s="33">
        <f t="shared" si="13"/>
        <v>0.87384491656249574</v>
      </c>
      <c r="F85" s="33">
        <f t="shared" si="14"/>
        <v>0.87843560554341005</v>
      </c>
      <c r="G85" s="33">
        <f t="shared" si="15"/>
        <v>0.88340377134451553</v>
      </c>
      <c r="H85" s="33">
        <f t="shared" si="16"/>
        <v>0.88787940538905519</v>
      </c>
      <c r="I85" s="33">
        <f t="shared" si="17"/>
        <v>0.89478417348147321</v>
      </c>
      <c r="J85" s="33">
        <f t="shared" si="18"/>
        <v>0.90020393863680104</v>
      </c>
      <c r="K85" s="33">
        <f t="shared" si="19"/>
        <v>0.90617330254384054</v>
      </c>
      <c r="L85" s="33">
        <f t="shared" si="20"/>
        <v>0.91421055083840119</v>
      </c>
      <c r="M85" s="33">
        <f t="shared" si="21"/>
        <v>0.92013442255319822</v>
      </c>
      <c r="N85" s="33">
        <f t="shared" si="22"/>
        <v>0.92374183385987385</v>
      </c>
      <c r="O85" s="33">
        <f t="shared" si="23"/>
        <v>0.9293744836257154</v>
      </c>
    </row>
    <row r="86" spans="1:15" x14ac:dyDescent="0.25">
      <c r="A86" s="2">
        <v>84</v>
      </c>
      <c r="B86" s="33">
        <f>TPR($B$1,$A86,dr)</f>
        <v>0.85033379221476202</v>
      </c>
      <c r="C86" s="33">
        <f>TPR($C$1,$A86,dr)</f>
        <v>0.85822938140549454</v>
      </c>
      <c r="D86" s="33">
        <f t="shared" si="12"/>
        <v>0.86518607873869935</v>
      </c>
      <c r="E86" s="33">
        <f t="shared" si="13"/>
        <v>0.87039737563066577</v>
      </c>
      <c r="F86" s="33">
        <f t="shared" si="14"/>
        <v>0.8749394457826718</v>
      </c>
      <c r="G86" s="33">
        <f t="shared" si="15"/>
        <v>0.87983050010139174</v>
      </c>
      <c r="H86" s="33">
        <f t="shared" si="16"/>
        <v>0.88429034714983168</v>
      </c>
      <c r="I86" s="33">
        <f t="shared" si="17"/>
        <v>0.89161208956822091</v>
      </c>
      <c r="J86" s="33">
        <f t="shared" si="18"/>
        <v>0.89728642899661604</v>
      </c>
      <c r="K86" s="33">
        <f t="shared" si="19"/>
        <v>0.90331510078171162</v>
      </c>
      <c r="L86" s="33">
        <f t="shared" si="20"/>
        <v>0.91160891187264981</v>
      </c>
      <c r="M86" s="33">
        <f t="shared" si="21"/>
        <v>0.91771836950170449</v>
      </c>
      <c r="N86" s="33">
        <f t="shared" si="22"/>
        <v>0.92152529632982683</v>
      </c>
      <c r="O86" s="33">
        <f t="shared" si="23"/>
        <v>0.92713299155707218</v>
      </c>
    </row>
    <row r="87" spans="1:15" x14ac:dyDescent="0.25">
      <c r="A87" s="2">
        <v>85</v>
      </c>
      <c r="B87" s="33">
        <f>TPR($B$1,$A87,dr)</f>
        <v>0.84610445098702436</v>
      </c>
      <c r="C87" s="33">
        <f>TPR($C$1,$A87,dr)</f>
        <v>0.85415465836999305</v>
      </c>
      <c r="D87" s="33">
        <f t="shared" si="12"/>
        <v>0.86139093469006656</v>
      </c>
      <c r="E87" s="33">
        <f t="shared" si="13"/>
        <v>0.86649584129691748</v>
      </c>
      <c r="F87" s="33">
        <f t="shared" si="14"/>
        <v>0.87126612235290946</v>
      </c>
      <c r="G87" s="33">
        <f t="shared" si="15"/>
        <v>0.87649056840153994</v>
      </c>
      <c r="H87" s="33">
        <f t="shared" si="16"/>
        <v>0.8809353230179493</v>
      </c>
      <c r="I87" s="33">
        <f t="shared" si="17"/>
        <v>0.88821299291199673</v>
      </c>
      <c r="J87" s="33">
        <f t="shared" si="18"/>
        <v>0.89412307427183746</v>
      </c>
      <c r="K87" s="33">
        <f t="shared" si="19"/>
        <v>0.90021713915942825</v>
      </c>
      <c r="L87" s="33">
        <f t="shared" si="20"/>
        <v>0.90896079677491826</v>
      </c>
      <c r="M87" s="33">
        <f t="shared" si="21"/>
        <v>0.9154097852699703</v>
      </c>
      <c r="N87" s="33">
        <f t="shared" si="22"/>
        <v>0.9193507058743996</v>
      </c>
      <c r="O87" s="33">
        <f t="shared" si="23"/>
        <v>0.9248803632807806</v>
      </c>
    </row>
    <row r="88" spans="1:15" x14ac:dyDescent="0.25">
      <c r="A88" s="2">
        <v>86</v>
      </c>
      <c r="B88" s="33">
        <f>TPR($B$1,$A88,dr)</f>
        <v>0.84185530197587177</v>
      </c>
      <c r="C88" s="33">
        <f>TPR($C$1,$A88,dr)</f>
        <v>0.84976379948145742</v>
      </c>
      <c r="D88" s="33">
        <f t="shared" si="12"/>
        <v>0.85745401517405173</v>
      </c>
      <c r="E88" s="33">
        <f t="shared" si="13"/>
        <v>0.86273273314519761</v>
      </c>
      <c r="F88" s="33">
        <f t="shared" si="14"/>
        <v>0.86762244082667495</v>
      </c>
      <c r="G88" s="33">
        <f t="shared" si="15"/>
        <v>0.87306452375030741</v>
      </c>
      <c r="H88" s="33">
        <f t="shared" si="16"/>
        <v>0.87761134307497979</v>
      </c>
      <c r="I88" s="33">
        <f t="shared" si="17"/>
        <v>0.88492156308384129</v>
      </c>
      <c r="J88" s="33">
        <f t="shared" si="18"/>
        <v>0.89099889360424533</v>
      </c>
      <c r="K88" s="33">
        <f t="shared" si="19"/>
        <v>0.89740269736819889</v>
      </c>
      <c r="L88" s="33">
        <f t="shared" si="20"/>
        <v>0.90636512049313722</v>
      </c>
      <c r="M88" s="33">
        <f t="shared" si="21"/>
        <v>0.91289148569292111</v>
      </c>
      <c r="N88" s="33">
        <f t="shared" si="22"/>
        <v>0.91704680576421349</v>
      </c>
      <c r="O88" s="33">
        <f t="shared" si="23"/>
        <v>0.92278203835700545</v>
      </c>
    </row>
    <row r="89" spans="1:15" x14ac:dyDescent="0.25">
      <c r="A89" s="2">
        <v>87</v>
      </c>
      <c r="B89" s="33">
        <f>TPR($B$1,$A89,dr)</f>
        <v>0.83784958383936792</v>
      </c>
      <c r="C89" s="33">
        <f>TPR($C$1,$A89,dr)</f>
        <v>0.84551492428545982</v>
      </c>
      <c r="D89" s="33">
        <f t="shared" si="12"/>
        <v>0.85344787937762767</v>
      </c>
      <c r="E89" s="33">
        <f t="shared" si="13"/>
        <v>0.85905462143808098</v>
      </c>
      <c r="F89" s="33">
        <f t="shared" si="14"/>
        <v>0.86408020035039934</v>
      </c>
      <c r="G89" s="33">
        <f t="shared" si="15"/>
        <v>0.86967554246007917</v>
      </c>
      <c r="H89" s="33">
        <f t="shared" si="16"/>
        <v>0.87439632877131201</v>
      </c>
      <c r="I89" s="33">
        <f t="shared" si="17"/>
        <v>0.88158900508016547</v>
      </c>
      <c r="J89" s="33">
        <f t="shared" si="18"/>
        <v>0.88773264230300097</v>
      </c>
      <c r="K89" s="33">
        <f t="shared" si="19"/>
        <v>0.89467008785710378</v>
      </c>
      <c r="L89" s="33">
        <f t="shared" si="20"/>
        <v>0.90366662976597134</v>
      </c>
      <c r="M89" s="33">
        <f t="shared" si="21"/>
        <v>0.91018833236676466</v>
      </c>
      <c r="N89" s="33">
        <f t="shared" si="22"/>
        <v>0.91435098692386374</v>
      </c>
      <c r="O89" s="33">
        <f t="shared" si="23"/>
        <v>0.92047731523958087</v>
      </c>
    </row>
    <row r="90" spans="1:15" x14ac:dyDescent="0.25">
      <c r="A90" s="2">
        <v>88</v>
      </c>
      <c r="B90" s="33">
        <f>TPR($B$1,$A90,dr)</f>
        <v>0.83395684041039075</v>
      </c>
      <c r="C90" s="33">
        <f>TPR($C$1,$A90,dr)</f>
        <v>0.84177221041572625</v>
      </c>
      <c r="D90" s="33">
        <f t="shared" si="12"/>
        <v>0.84945434369486017</v>
      </c>
      <c r="E90" s="33">
        <f t="shared" si="13"/>
        <v>0.855177373153305</v>
      </c>
      <c r="F90" s="33">
        <f t="shared" si="14"/>
        <v>0.86052458018228928</v>
      </c>
      <c r="G90" s="33">
        <f t="shared" si="15"/>
        <v>0.86622897668429744</v>
      </c>
      <c r="H90" s="33">
        <f t="shared" si="16"/>
        <v>0.87095862648960098</v>
      </c>
      <c r="I90" s="33">
        <f t="shared" si="17"/>
        <v>0.87834037683979127</v>
      </c>
      <c r="J90" s="33">
        <f t="shared" si="18"/>
        <v>0.8845682452787883</v>
      </c>
      <c r="K90" s="33">
        <f t="shared" si="19"/>
        <v>0.89177106668981343</v>
      </c>
      <c r="L90" s="33">
        <f t="shared" si="20"/>
        <v>0.90087704849445571</v>
      </c>
      <c r="M90" s="33">
        <f t="shared" si="21"/>
        <v>0.90754281199563525</v>
      </c>
      <c r="N90" s="33">
        <f t="shared" si="22"/>
        <v>0.91176419709624046</v>
      </c>
      <c r="O90" s="33">
        <f t="shared" si="23"/>
        <v>0.91811266199271924</v>
      </c>
    </row>
    <row r="91" spans="1:15" x14ac:dyDescent="0.25">
      <c r="A91" s="2">
        <v>89</v>
      </c>
      <c r="B91" s="33">
        <f>TPR($B$1,$A91,dr)</f>
        <v>0.83017776865737536</v>
      </c>
      <c r="C91" s="33">
        <f>TPR($C$1,$A91,dr)</f>
        <v>0.8383379092567077</v>
      </c>
      <c r="D91" s="33">
        <f t="shared" si="12"/>
        <v>0.84548520836125451</v>
      </c>
      <c r="E91" s="33">
        <f t="shared" si="13"/>
        <v>0.85107498454068786</v>
      </c>
      <c r="F91" s="33">
        <f t="shared" si="14"/>
        <v>0.856695306393773</v>
      </c>
      <c r="G91" s="33">
        <f t="shared" si="15"/>
        <v>0.86256861081649561</v>
      </c>
      <c r="H91" s="33">
        <f t="shared" si="16"/>
        <v>0.86737677124610935</v>
      </c>
      <c r="I91" s="33">
        <f t="shared" si="17"/>
        <v>0.87509750618987081</v>
      </c>
      <c r="J91" s="33">
        <f t="shared" si="18"/>
        <v>0.8816392495300267</v>
      </c>
      <c r="K91" s="33">
        <f t="shared" si="19"/>
        <v>0.88893252829894165</v>
      </c>
      <c r="L91" s="33">
        <f t="shared" si="20"/>
        <v>0.8981992928770014</v>
      </c>
      <c r="M91" s="33">
        <f t="shared" si="21"/>
        <v>0.90505404998124628</v>
      </c>
      <c r="N91" s="33">
        <f t="shared" si="22"/>
        <v>0.90947411460395877</v>
      </c>
      <c r="O91" s="33">
        <f t="shared" si="23"/>
        <v>0.91605552213946584</v>
      </c>
    </row>
    <row r="92" spans="1:15" x14ac:dyDescent="0.25">
      <c r="A92" s="2">
        <v>90</v>
      </c>
      <c r="B92" s="33">
        <f>TPR($B$1,$A92,dr)</f>
        <v>0.82638070812256759</v>
      </c>
      <c r="C92" s="33">
        <f>TPR($C$1,$A92,dr)</f>
        <v>0.83429594224628589</v>
      </c>
      <c r="D92" s="33">
        <f t="shared" si="12"/>
        <v>0.84168113483840901</v>
      </c>
      <c r="E92" s="33">
        <f t="shared" si="13"/>
        <v>0.84729117284642241</v>
      </c>
      <c r="F92" s="33">
        <f t="shared" si="14"/>
        <v>0.85284423151334254</v>
      </c>
      <c r="G92" s="33">
        <f t="shared" si="15"/>
        <v>0.85892438912586555</v>
      </c>
      <c r="H92" s="33">
        <f t="shared" si="16"/>
        <v>0.86402803306410925</v>
      </c>
      <c r="I92" s="33">
        <f t="shared" si="17"/>
        <v>0.87201246054536641</v>
      </c>
      <c r="J92" s="33">
        <f t="shared" si="18"/>
        <v>0.87875463138344045</v>
      </c>
      <c r="K92" s="33">
        <f t="shared" si="19"/>
        <v>0.88622591262696415</v>
      </c>
      <c r="L92" s="33">
        <f t="shared" si="20"/>
        <v>0.8955873001763377</v>
      </c>
      <c r="M92" s="33">
        <f t="shared" si="21"/>
        <v>0.90262299022884174</v>
      </c>
      <c r="N92" s="33">
        <f t="shared" si="22"/>
        <v>0.90729132174263771</v>
      </c>
      <c r="O92" s="33">
        <f t="shared" si="23"/>
        <v>0.91394419139243532</v>
      </c>
    </row>
    <row r="93" spans="1:15" x14ac:dyDescent="0.25">
      <c r="A93" s="2">
        <v>91</v>
      </c>
      <c r="B93" s="33">
        <f>TPR($B$1,$A93,dr)</f>
        <v>0.82269823307641343</v>
      </c>
      <c r="C93" s="33">
        <f>TPR($C$1,$A93,dr)</f>
        <v>0.82997576706832032</v>
      </c>
      <c r="D93" s="33">
        <f t="shared" si="12"/>
        <v>0.83781318238514535</v>
      </c>
      <c r="E93" s="33">
        <f t="shared" si="13"/>
        <v>0.84369487733829274</v>
      </c>
      <c r="F93" s="33">
        <f t="shared" si="14"/>
        <v>0.84922994278426744</v>
      </c>
      <c r="G93" s="33">
        <f t="shared" si="15"/>
        <v>0.85540627114488699</v>
      </c>
      <c r="H93" s="33">
        <f t="shared" si="16"/>
        <v>0.86070329996784467</v>
      </c>
      <c r="I93" s="33">
        <f t="shared" si="17"/>
        <v>0.86881596526742455</v>
      </c>
      <c r="J93" s="33">
        <f t="shared" si="18"/>
        <v>0.87579153377207752</v>
      </c>
      <c r="K93" s="33">
        <f t="shared" si="19"/>
        <v>0.88355594994274367</v>
      </c>
      <c r="L93" s="33">
        <f t="shared" si="20"/>
        <v>0.89279701766224218</v>
      </c>
      <c r="M93" s="33">
        <f t="shared" si="21"/>
        <v>0.9000021189344598</v>
      </c>
      <c r="N93" s="33">
        <f t="shared" si="22"/>
        <v>0.90490959651019731</v>
      </c>
      <c r="O93" s="33">
        <f t="shared" si="23"/>
        <v>0.91165857926992222</v>
      </c>
    </row>
    <row r="94" spans="1:15" x14ac:dyDescent="0.25">
      <c r="A94" s="2">
        <v>92</v>
      </c>
      <c r="B94" s="33">
        <f>TPR($B$1,$A94,dr)</f>
        <v>0.81913104380417934</v>
      </c>
      <c r="C94" s="33">
        <f>TPR($C$1,$A94,dr)</f>
        <v>0.82655431734103102</v>
      </c>
      <c r="D94" s="33">
        <f t="shared" si="12"/>
        <v>0.83440026693053826</v>
      </c>
      <c r="E94" s="33">
        <f t="shared" si="13"/>
        <v>0.84021112267610643</v>
      </c>
      <c r="F94" s="33">
        <f t="shared" si="14"/>
        <v>0.84585239153166258</v>
      </c>
      <c r="G94" s="33">
        <f t="shared" si="15"/>
        <v>0.85225065013392964</v>
      </c>
      <c r="H94" s="33">
        <f t="shared" si="16"/>
        <v>0.85749102823061585</v>
      </c>
      <c r="I94" s="33">
        <f t="shared" si="17"/>
        <v>0.86544592128352416</v>
      </c>
      <c r="J94" s="33">
        <f t="shared" si="18"/>
        <v>0.87262303043526701</v>
      </c>
      <c r="K94" s="33">
        <f t="shared" si="19"/>
        <v>0.88078702228572581</v>
      </c>
      <c r="L94" s="33">
        <f t="shared" si="20"/>
        <v>0.89019978331385308</v>
      </c>
      <c r="M94" s="33">
        <f t="shared" si="21"/>
        <v>0.89739683942196813</v>
      </c>
      <c r="N94" s="33">
        <f t="shared" si="22"/>
        <v>0.90251223580425533</v>
      </c>
      <c r="O94" s="33">
        <f t="shared" si="23"/>
        <v>0.90948262853927064</v>
      </c>
    </row>
    <row r="95" spans="1:15" x14ac:dyDescent="0.25">
      <c r="A95" s="2">
        <v>93</v>
      </c>
      <c r="B95" s="33">
        <f>TPR($B$1,$A95,dr)</f>
        <v>0.81541367077217541</v>
      </c>
      <c r="C95" s="33">
        <f>TPR($C$1,$A95,dr)</f>
        <v>0.82337535978773835</v>
      </c>
      <c r="D95" s="33">
        <f t="shared" si="12"/>
        <v>0.83093297026151869</v>
      </c>
      <c r="E95" s="33">
        <f t="shared" si="13"/>
        <v>0.83675014442460172</v>
      </c>
      <c r="F95" s="33">
        <f t="shared" si="14"/>
        <v>0.84252395749753228</v>
      </c>
      <c r="G95" s="33">
        <f t="shared" si="15"/>
        <v>0.84895077385400064</v>
      </c>
      <c r="H95" s="33">
        <f t="shared" si="16"/>
        <v>0.85426448583009762</v>
      </c>
      <c r="I95" s="33">
        <f t="shared" si="17"/>
        <v>0.86223695131275579</v>
      </c>
      <c r="J95" s="33">
        <f t="shared" si="18"/>
        <v>0.86944032113631731</v>
      </c>
      <c r="K95" s="33">
        <f t="shared" si="19"/>
        <v>0.87773216491555051</v>
      </c>
      <c r="L95" s="33">
        <f t="shared" si="20"/>
        <v>0.88762674589672141</v>
      </c>
      <c r="M95" s="33">
        <f t="shared" si="21"/>
        <v>0.89495399294103672</v>
      </c>
      <c r="N95" s="33">
        <f t="shared" si="22"/>
        <v>0.90004035334893107</v>
      </c>
      <c r="O95" s="33">
        <f t="shared" si="23"/>
        <v>0.90712997670324125</v>
      </c>
    </row>
    <row r="96" spans="1:15" x14ac:dyDescent="0.25">
      <c r="A96" s="2">
        <v>94</v>
      </c>
      <c r="B96" s="33">
        <f>TPR($B$1,$A96,dr)</f>
        <v>0.81167868891421535</v>
      </c>
      <c r="C96" s="33">
        <f>TPR($C$1,$A96,dr)</f>
        <v>0.81959212535259063</v>
      </c>
      <c r="D96" s="33">
        <f t="shared" si="12"/>
        <v>0.82718587746424044</v>
      </c>
      <c r="E96" s="33">
        <f t="shared" si="13"/>
        <v>0.83312205188572375</v>
      </c>
      <c r="F96" s="33">
        <f t="shared" si="14"/>
        <v>0.83892443247586324</v>
      </c>
      <c r="G96" s="33">
        <f t="shared" si="15"/>
        <v>0.84548006488461713</v>
      </c>
      <c r="H96" s="33">
        <f t="shared" si="16"/>
        <v>0.85102389402209622</v>
      </c>
      <c r="I96" s="33">
        <f t="shared" si="17"/>
        <v>0.85908317520143196</v>
      </c>
      <c r="J96" s="33">
        <f t="shared" si="18"/>
        <v>0.86642954311746179</v>
      </c>
      <c r="K96" s="33">
        <f t="shared" si="19"/>
        <v>0.87455375172932914</v>
      </c>
      <c r="L96" s="33">
        <f t="shared" si="20"/>
        <v>0.88482741246096208</v>
      </c>
      <c r="M96" s="33">
        <f t="shared" si="21"/>
        <v>0.8923751917984023</v>
      </c>
      <c r="N96" s="33">
        <f t="shared" si="22"/>
        <v>0.8974317175814952</v>
      </c>
      <c r="O96" s="33">
        <f t="shared" si="23"/>
        <v>0.90480196360841225</v>
      </c>
    </row>
    <row r="97" spans="1:15" x14ac:dyDescent="0.25">
      <c r="A97" s="2">
        <v>95</v>
      </c>
      <c r="B97" s="33">
        <f>TPR($B$1,$A97,dr)</f>
        <v>0.8079260723590056</v>
      </c>
      <c r="C97" s="33">
        <f>TPR($C$1,$A97,dr)</f>
        <v>0.81540215086908441</v>
      </c>
      <c r="D97" s="33">
        <f t="shared" si="12"/>
        <v>0.82332533082553894</v>
      </c>
      <c r="E97" s="33">
        <f t="shared" si="13"/>
        <v>0.82953181099298134</v>
      </c>
      <c r="F97" s="33">
        <f t="shared" si="14"/>
        <v>0.83530914940411716</v>
      </c>
      <c r="G97" s="33">
        <f t="shared" si="15"/>
        <v>0.84193811344156855</v>
      </c>
      <c r="H97" s="33">
        <f t="shared" si="16"/>
        <v>0.84768099113370576</v>
      </c>
      <c r="I97" s="33">
        <f t="shared" si="17"/>
        <v>0.85598337389630919</v>
      </c>
      <c r="J97" s="33">
        <f t="shared" si="18"/>
        <v>0.86346925331140167</v>
      </c>
      <c r="K97" s="33">
        <f t="shared" si="19"/>
        <v>0.87150436435192435</v>
      </c>
      <c r="L97" s="33">
        <f t="shared" si="20"/>
        <v>0.88201392250905208</v>
      </c>
      <c r="M97" s="33">
        <f t="shared" si="21"/>
        <v>0.88980022176397011</v>
      </c>
      <c r="N97" s="33">
        <f t="shared" si="22"/>
        <v>0.89493295589592226</v>
      </c>
      <c r="O97" s="33">
        <f t="shared" si="23"/>
        <v>0.90258174015167136</v>
      </c>
    </row>
    <row r="98" spans="1:15" x14ac:dyDescent="0.25">
      <c r="A98" s="2">
        <v>96</v>
      </c>
      <c r="B98" s="33">
        <f>TPR($B$1,$A98,dr)</f>
        <v>0.80388816646951788</v>
      </c>
      <c r="C98" s="33">
        <f>TPR($C$1,$A98,dr)</f>
        <v>0.81112694634673244</v>
      </c>
      <c r="D98" s="33">
        <f t="shared" si="12"/>
        <v>0.81952731432172521</v>
      </c>
      <c r="E98" s="33">
        <f t="shared" si="13"/>
        <v>0.82619977708457348</v>
      </c>
      <c r="F98" s="33">
        <f t="shared" si="14"/>
        <v>0.83206389895612054</v>
      </c>
      <c r="G98" s="33">
        <f t="shared" si="15"/>
        <v>0.83861157116807172</v>
      </c>
      <c r="H98" s="33">
        <f t="shared" si="16"/>
        <v>0.84436009975849535</v>
      </c>
      <c r="I98" s="33">
        <f t="shared" si="17"/>
        <v>0.85270711151646872</v>
      </c>
      <c r="J98" s="33">
        <f t="shared" si="18"/>
        <v>0.86023716296221409</v>
      </c>
      <c r="K98" s="33">
        <f t="shared" si="19"/>
        <v>0.86866752113487733</v>
      </c>
      <c r="L98" s="33">
        <f t="shared" si="20"/>
        <v>0.87935825062039985</v>
      </c>
      <c r="M98" s="33">
        <f t="shared" si="21"/>
        <v>0.88728048334233856</v>
      </c>
      <c r="N98" s="33">
        <f t="shared" si="22"/>
        <v>0.89254471820740244</v>
      </c>
      <c r="O98" s="33">
        <f t="shared" si="23"/>
        <v>0.90030975220683884</v>
      </c>
    </row>
    <row r="99" spans="1:15" x14ac:dyDescent="0.25">
      <c r="A99" s="2">
        <v>97</v>
      </c>
      <c r="B99" s="33">
        <f>TPR($B$1,$A99,dr)</f>
        <v>0.79983160062452008</v>
      </c>
      <c r="C99" s="33">
        <f>TPR($C$1,$A99,dr)</f>
        <v>0.80693137023579675</v>
      </c>
      <c r="D99" s="33">
        <f t="shared" si="12"/>
        <v>0.81558345249024511</v>
      </c>
      <c r="E99" s="33">
        <f t="shared" si="13"/>
        <v>0.82258994979520206</v>
      </c>
      <c r="F99" s="33">
        <f t="shared" si="14"/>
        <v>0.82866752972304814</v>
      </c>
      <c r="G99" s="33">
        <f t="shared" si="15"/>
        <v>0.83522166603759196</v>
      </c>
      <c r="H99" s="33">
        <f t="shared" si="16"/>
        <v>0.84100592814245678</v>
      </c>
      <c r="I99" s="33">
        <f t="shared" si="17"/>
        <v>0.8495989845883839</v>
      </c>
      <c r="J99" s="33">
        <f t="shared" si="18"/>
        <v>0.85705506456104419</v>
      </c>
      <c r="K99" s="33">
        <f t="shared" si="19"/>
        <v>0.86567227494374077</v>
      </c>
      <c r="L99" s="33">
        <f t="shared" si="20"/>
        <v>0.87676277391074742</v>
      </c>
      <c r="M99" s="33">
        <f t="shared" si="21"/>
        <v>0.88492488163207561</v>
      </c>
      <c r="N99" s="33">
        <f t="shared" si="22"/>
        <v>0.8902676556417416</v>
      </c>
      <c r="O99" s="33">
        <f t="shared" si="23"/>
        <v>0.89814790366852071</v>
      </c>
    </row>
    <row r="100" spans="1:15" x14ac:dyDescent="0.25">
      <c r="A100" s="2">
        <v>98</v>
      </c>
      <c r="B100" s="33">
        <f>TPR($B$1,$A100,dr)</f>
        <v>0.79575634762598602</v>
      </c>
      <c r="C100" s="33">
        <f>TPR($C$1,$A100,dr)</f>
        <v>0.80339666034435464</v>
      </c>
      <c r="D100" s="33">
        <f t="shared" si="12"/>
        <v>0.81211501329677449</v>
      </c>
      <c r="E100" s="33">
        <f t="shared" si="13"/>
        <v>0.81886102670280903</v>
      </c>
      <c r="F100" s="33">
        <f t="shared" si="14"/>
        <v>0.82492640926672423</v>
      </c>
      <c r="G100" s="33">
        <f t="shared" si="15"/>
        <v>0.83170629163393617</v>
      </c>
      <c r="H100" s="33">
        <f t="shared" si="16"/>
        <v>0.83761050943110682</v>
      </c>
      <c r="I100" s="33">
        <f t="shared" si="17"/>
        <v>0.84637799128225411</v>
      </c>
      <c r="J100" s="33">
        <f t="shared" si="18"/>
        <v>0.85398388435264361</v>
      </c>
      <c r="K100" s="33">
        <f t="shared" si="19"/>
        <v>0.86271614825395671</v>
      </c>
      <c r="L100" s="33">
        <f t="shared" si="20"/>
        <v>0.87407095358486298</v>
      </c>
      <c r="M100" s="33">
        <f t="shared" si="21"/>
        <v>0.88236172515238687</v>
      </c>
      <c r="N100" s="33">
        <f t="shared" si="22"/>
        <v>0.88784493509331575</v>
      </c>
      <c r="O100" s="33">
        <f t="shared" si="23"/>
        <v>0.89581396574841632</v>
      </c>
    </row>
    <row r="101" spans="1:15" x14ac:dyDescent="0.25">
      <c r="A101" s="2">
        <v>99</v>
      </c>
      <c r="B101" s="33">
        <f>TPR($B$1,$A101,dr)</f>
        <v>0.79179692545888158</v>
      </c>
      <c r="C101" s="33">
        <f>TPR($C$1,$A101,dr)</f>
        <v>0.80016820949726175</v>
      </c>
      <c r="D101" s="33">
        <f t="shared" si="12"/>
        <v>0.80877384038173883</v>
      </c>
      <c r="E101" s="33">
        <f t="shared" si="13"/>
        <v>0.81511795376120899</v>
      </c>
      <c r="F101" s="33">
        <f t="shared" si="14"/>
        <v>0.82116530428775525</v>
      </c>
      <c r="G101" s="33">
        <f t="shared" si="15"/>
        <v>0.82817277405786949</v>
      </c>
      <c r="H101" s="33">
        <f t="shared" si="16"/>
        <v>0.83416314218698173</v>
      </c>
      <c r="I101" s="33">
        <f t="shared" si="17"/>
        <v>0.84315192649839465</v>
      </c>
      <c r="J101" s="33">
        <f t="shared" si="18"/>
        <v>0.85102427967779126</v>
      </c>
      <c r="K101" s="33">
        <f t="shared" si="19"/>
        <v>0.85973181249631714</v>
      </c>
      <c r="L101" s="33">
        <f t="shared" si="20"/>
        <v>0.87115831303597979</v>
      </c>
      <c r="M101" s="33">
        <f t="shared" si="21"/>
        <v>0.87974121515529391</v>
      </c>
      <c r="N101" s="33">
        <f t="shared" si="22"/>
        <v>0.88553129005803732</v>
      </c>
      <c r="O101" s="33">
        <f t="shared" si="23"/>
        <v>0.89351279015650342</v>
      </c>
    </row>
    <row r="102" spans="1:15" x14ac:dyDescent="0.25">
      <c r="A102" s="2">
        <v>100</v>
      </c>
      <c r="B102" s="33">
        <f>TPR($B$1,$A102,dr)</f>
        <v>0.78808882827731574</v>
      </c>
      <c r="C102" s="33">
        <f>TPR($C$1,$A102,dr)</f>
        <v>0.79670215346398543</v>
      </c>
      <c r="D102" s="33">
        <f t="shared" si="12"/>
        <v>0.80527753973062022</v>
      </c>
      <c r="E102" s="33">
        <f t="shared" si="13"/>
        <v>0.81157426138469779</v>
      </c>
      <c r="F102" s="33">
        <f t="shared" si="14"/>
        <v>0.817537281493946</v>
      </c>
      <c r="G102" s="33">
        <f t="shared" si="15"/>
        <v>0.82453911017716808</v>
      </c>
      <c r="H102" s="33">
        <f t="shared" si="16"/>
        <v>0.83080609174199838</v>
      </c>
      <c r="I102" s="33">
        <f t="shared" si="17"/>
        <v>0.84007998145082596</v>
      </c>
      <c r="J102" s="33">
        <f t="shared" si="18"/>
        <v>0.84805006420194384</v>
      </c>
      <c r="K102" s="33">
        <f t="shared" si="19"/>
        <v>0.85687131683247375</v>
      </c>
      <c r="L102" s="33">
        <f t="shared" si="20"/>
        <v>0.86840143622713006</v>
      </c>
      <c r="M102" s="33">
        <f t="shared" si="21"/>
        <v>0.87722915209218832</v>
      </c>
      <c r="N102" s="33">
        <f t="shared" si="22"/>
        <v>0.88315720612907833</v>
      </c>
      <c r="O102" s="33">
        <f t="shared" si="23"/>
        <v>0.89118937124124153</v>
      </c>
    </row>
    <row r="103" spans="1:15" x14ac:dyDescent="0.25">
      <c r="A103" s="2">
        <v>101</v>
      </c>
      <c r="B103" s="33">
        <f>TPR($B$1,$A103,dr)</f>
        <v>0.78476852861575941</v>
      </c>
      <c r="C103" s="33">
        <f>TPR($C$1,$A103,dr)</f>
        <v>0.79313535471107477</v>
      </c>
      <c r="D103" s="33">
        <f t="shared" si="12"/>
        <v>0.8015863107503246</v>
      </c>
      <c r="E103" s="33">
        <f t="shared" si="13"/>
        <v>0.80802471696582412</v>
      </c>
      <c r="F103" s="33">
        <f t="shared" si="14"/>
        <v>0.81414134948561767</v>
      </c>
      <c r="G103" s="33">
        <f t="shared" si="15"/>
        <v>0.82118024645583532</v>
      </c>
      <c r="H103" s="33">
        <f t="shared" si="16"/>
        <v>0.8275239863663626</v>
      </c>
      <c r="I103" s="33">
        <f t="shared" si="17"/>
        <v>0.83699200074624514</v>
      </c>
      <c r="J103" s="33">
        <f t="shared" si="18"/>
        <v>0.84500408933467774</v>
      </c>
      <c r="K103" s="33">
        <f t="shared" si="19"/>
        <v>0.853937589790284</v>
      </c>
      <c r="L103" s="33">
        <f t="shared" si="20"/>
        <v>0.86578979705710302</v>
      </c>
      <c r="M103" s="33">
        <f t="shared" si="21"/>
        <v>0.87474795151937523</v>
      </c>
      <c r="N103" s="33">
        <f t="shared" si="22"/>
        <v>0.88053418442866493</v>
      </c>
      <c r="O103" s="33">
        <f t="shared" si="23"/>
        <v>0.88887303939467055</v>
      </c>
    </row>
    <row r="104" spans="1:15" x14ac:dyDescent="0.25">
      <c r="A104" s="2">
        <v>102</v>
      </c>
      <c r="B104" s="33">
        <f>TPR($B$1,$A104,dr)</f>
        <v>0.78143236770741198</v>
      </c>
      <c r="C104" s="33">
        <f>TPR($C$1,$A104,dr)</f>
        <v>0.7896501756444938</v>
      </c>
      <c r="D104" s="33">
        <f t="shared" si="12"/>
        <v>0.79792769164002042</v>
      </c>
      <c r="E104" s="33">
        <f t="shared" si="13"/>
        <v>0.80431565950339301</v>
      </c>
      <c r="F104" s="33">
        <f t="shared" si="14"/>
        <v>0.81064276184310369</v>
      </c>
      <c r="G104" s="33">
        <f t="shared" si="15"/>
        <v>0.81793469020046039</v>
      </c>
      <c r="H104" s="33">
        <f t="shared" si="16"/>
        <v>0.82431984730401875</v>
      </c>
      <c r="I104" s="33">
        <f t="shared" si="17"/>
        <v>0.8336816857241236</v>
      </c>
      <c r="J104" s="33">
        <f t="shared" si="18"/>
        <v>0.84184561794496549</v>
      </c>
      <c r="K104" s="33">
        <f t="shared" si="19"/>
        <v>0.85117234103719641</v>
      </c>
      <c r="L104" s="33">
        <f t="shared" si="20"/>
        <v>0.86313041960273229</v>
      </c>
      <c r="M104" s="33">
        <f t="shared" si="21"/>
        <v>0.87212805960858908</v>
      </c>
      <c r="N104" s="33">
        <f t="shared" si="22"/>
        <v>0.87794306931000277</v>
      </c>
      <c r="O104" s="33">
        <f t="shared" si="23"/>
        <v>0.88655299340390747</v>
      </c>
    </row>
    <row r="105" spans="1:15" x14ac:dyDescent="0.25">
      <c r="A105" s="2">
        <v>103</v>
      </c>
      <c r="B105" s="33">
        <f>TPR($B$1,$A105,dr)</f>
        <v>0.77821584501331276</v>
      </c>
      <c r="C105" s="33">
        <f>TPR($C$1,$A105,dr)</f>
        <v>0.78618738460704263</v>
      </c>
      <c r="D105" s="33">
        <f t="shared" si="12"/>
        <v>0.79425381874871392</v>
      </c>
      <c r="E105" s="33">
        <f t="shared" si="13"/>
        <v>0.80065937423400946</v>
      </c>
      <c r="F105" s="33">
        <f t="shared" si="14"/>
        <v>0.80731142123681199</v>
      </c>
      <c r="G105" s="33">
        <f t="shared" si="15"/>
        <v>0.81488777567125148</v>
      </c>
      <c r="H105" s="33">
        <f t="shared" si="16"/>
        <v>0.82119670567824721</v>
      </c>
      <c r="I105" s="33">
        <f t="shared" si="17"/>
        <v>0.83049441907683053</v>
      </c>
      <c r="J105" s="33">
        <f t="shared" si="18"/>
        <v>0.83875371978394941</v>
      </c>
      <c r="K105" s="33">
        <f t="shared" si="19"/>
        <v>0.84826544170607876</v>
      </c>
      <c r="L105" s="33">
        <f t="shared" si="20"/>
        <v>0.86041039228652161</v>
      </c>
      <c r="M105" s="33">
        <f t="shared" si="21"/>
        <v>0.8696958908815281</v>
      </c>
      <c r="N105" s="33">
        <f t="shared" si="22"/>
        <v>0.87576998014254681</v>
      </c>
      <c r="O105" s="33">
        <f t="shared" si="23"/>
        <v>0.88440448203161548</v>
      </c>
    </row>
    <row r="106" spans="1:15" x14ac:dyDescent="0.25">
      <c r="A106" s="2">
        <v>104</v>
      </c>
      <c r="B106" s="33">
        <f>TPR($B$1,$A106,dr)</f>
        <v>0.77484813688467613</v>
      </c>
      <c r="C106" s="33">
        <f>TPR($C$1,$A106,dr)</f>
        <v>0.78276851419960203</v>
      </c>
      <c r="D106" s="33">
        <f t="shared" si="12"/>
        <v>0.79069721045196584</v>
      </c>
      <c r="E106" s="33">
        <f t="shared" si="13"/>
        <v>0.79711651208066403</v>
      </c>
      <c r="F106" s="33">
        <f t="shared" si="14"/>
        <v>0.80386276499790432</v>
      </c>
      <c r="G106" s="33">
        <f t="shared" si="15"/>
        <v>0.81148251454454834</v>
      </c>
      <c r="H106" s="33">
        <f t="shared" si="16"/>
        <v>0.81780182071701524</v>
      </c>
      <c r="I106" s="33">
        <f t="shared" si="17"/>
        <v>0.82730674850506425</v>
      </c>
      <c r="J106" s="33">
        <f t="shared" si="18"/>
        <v>0.83579003199571955</v>
      </c>
      <c r="K106" s="33">
        <f t="shared" si="19"/>
        <v>0.84541033121064479</v>
      </c>
      <c r="L106" s="33">
        <f t="shared" si="20"/>
        <v>0.857802204760165</v>
      </c>
      <c r="M106" s="33">
        <f t="shared" si="21"/>
        <v>0.86730717561511717</v>
      </c>
      <c r="N106" s="33">
        <f t="shared" si="22"/>
        <v>0.87347439374504776</v>
      </c>
      <c r="O106" s="33">
        <f t="shared" si="23"/>
        <v>0.88191673515873292</v>
      </c>
    </row>
    <row r="107" spans="1:15" x14ac:dyDescent="0.25">
      <c r="A107" s="2">
        <v>105</v>
      </c>
      <c r="B107" s="33">
        <f>TPR($B$1,$A107,dr)</f>
        <v>0.77105645981627902</v>
      </c>
      <c r="C107" s="33">
        <f>TPR($C$1,$A107,dr)</f>
        <v>0.77893196105343254</v>
      </c>
      <c r="D107" s="33">
        <f t="shared" si="12"/>
        <v>0.78713903412458219</v>
      </c>
      <c r="E107" s="33">
        <f t="shared" si="13"/>
        <v>0.79361208956138329</v>
      </c>
      <c r="F107" s="33">
        <f t="shared" si="14"/>
        <v>0.80021109096767862</v>
      </c>
      <c r="G107" s="33">
        <f t="shared" si="15"/>
        <v>0.80784477383992059</v>
      </c>
      <c r="H107" s="33">
        <f t="shared" si="16"/>
        <v>0.81435634083490971</v>
      </c>
      <c r="I107" s="33">
        <f t="shared" si="17"/>
        <v>0.82422186846173062</v>
      </c>
      <c r="J107" s="33">
        <f t="shared" si="18"/>
        <v>0.83286815025194882</v>
      </c>
      <c r="K107" s="33">
        <f t="shared" si="19"/>
        <v>0.84259943760088474</v>
      </c>
      <c r="L107" s="33">
        <f t="shared" si="20"/>
        <v>0.85525838904573659</v>
      </c>
      <c r="M107" s="33">
        <f t="shared" si="21"/>
        <v>0.86496375843988904</v>
      </c>
      <c r="N107" s="33">
        <f t="shared" si="22"/>
        <v>0.87111354072925773</v>
      </c>
      <c r="O107" s="33">
        <f t="shared" si="23"/>
        <v>0.87952523729166476</v>
      </c>
    </row>
    <row r="108" spans="1:15" x14ac:dyDescent="0.25">
      <c r="A108" s="2">
        <v>106</v>
      </c>
      <c r="B108" s="33">
        <f>TPR($B$1,$A108,dr)</f>
        <v>0.76711109851423953</v>
      </c>
      <c r="C108" s="33">
        <f>TPR($C$1,$A108,dr)</f>
        <v>0.77494420259559127</v>
      </c>
      <c r="D108" s="33">
        <f t="shared" si="12"/>
        <v>0.78367478564138504</v>
      </c>
      <c r="E108" s="33">
        <f t="shared" si="13"/>
        <v>0.79035734162101656</v>
      </c>
      <c r="F108" s="33">
        <f t="shared" si="14"/>
        <v>0.79669446894166907</v>
      </c>
      <c r="G108" s="33">
        <f t="shared" si="15"/>
        <v>0.80423155493638021</v>
      </c>
      <c r="H108" s="33">
        <f t="shared" si="16"/>
        <v>0.81105125573164027</v>
      </c>
      <c r="I108" s="33">
        <f t="shared" si="17"/>
        <v>0.82104215763842092</v>
      </c>
      <c r="J108" s="33">
        <f t="shared" si="18"/>
        <v>0.82965631271463236</v>
      </c>
      <c r="K108" s="33">
        <f t="shared" si="19"/>
        <v>0.83971251153232684</v>
      </c>
      <c r="L108" s="33">
        <f t="shared" si="20"/>
        <v>0.85262166738991974</v>
      </c>
      <c r="M108" s="33">
        <f t="shared" si="21"/>
        <v>0.86241442921853417</v>
      </c>
      <c r="N108" s="33">
        <f t="shared" si="22"/>
        <v>0.86859752200416762</v>
      </c>
      <c r="O108" s="33">
        <f t="shared" si="23"/>
        <v>0.87719757583029001</v>
      </c>
    </row>
    <row r="109" spans="1:15" x14ac:dyDescent="0.25">
      <c r="A109" s="2">
        <v>107</v>
      </c>
      <c r="B109" s="33">
        <f>TPR($B$1,$A109,dr)</f>
        <v>0.76301129100021037</v>
      </c>
      <c r="C109" s="33">
        <f>TPR($C$1,$A109,dr)</f>
        <v>0.77118669496842251</v>
      </c>
      <c r="D109" s="33">
        <f t="shared" si="12"/>
        <v>0.78001673862602294</v>
      </c>
      <c r="E109" s="33">
        <f t="shared" si="13"/>
        <v>0.78703871164025563</v>
      </c>
      <c r="F109" s="33">
        <f t="shared" si="14"/>
        <v>0.79361399984832848</v>
      </c>
      <c r="G109" s="33">
        <f t="shared" si="15"/>
        <v>0.80095167892544539</v>
      </c>
      <c r="H109" s="33">
        <f t="shared" si="16"/>
        <v>0.80775494547303706</v>
      </c>
      <c r="I109" s="33">
        <f t="shared" si="17"/>
        <v>0.81804631254228954</v>
      </c>
      <c r="J109" s="33">
        <f t="shared" si="18"/>
        <v>0.82662959785044587</v>
      </c>
      <c r="K109" s="33">
        <f t="shared" si="19"/>
        <v>0.83673908158252208</v>
      </c>
      <c r="L109" s="33">
        <f t="shared" si="20"/>
        <v>0.84987253781589667</v>
      </c>
      <c r="M109" s="33">
        <f t="shared" si="21"/>
        <v>0.85991742552831796</v>
      </c>
      <c r="N109" s="33">
        <f t="shared" si="22"/>
        <v>0.86630089318799963</v>
      </c>
      <c r="O109" s="33">
        <f t="shared" si="23"/>
        <v>0.87515592887943283</v>
      </c>
    </row>
    <row r="110" spans="1:15" x14ac:dyDescent="0.25">
      <c r="A110" s="2">
        <v>108</v>
      </c>
      <c r="B110" s="33">
        <f>TPR($B$1,$A110,dr)</f>
        <v>0.75902977301702756</v>
      </c>
      <c r="C110" s="33">
        <f>TPR($C$1,$A110,dr)</f>
        <v>0.76783103879530223</v>
      </c>
      <c r="D110" s="33">
        <f t="shared" si="12"/>
        <v>0.77663236889865983</v>
      </c>
      <c r="E110" s="33">
        <f t="shared" si="13"/>
        <v>0.78383148247363754</v>
      </c>
      <c r="F110" s="33">
        <f t="shared" si="14"/>
        <v>0.79054368581276446</v>
      </c>
      <c r="G110" s="33">
        <f t="shared" si="15"/>
        <v>0.79761165321218708</v>
      </c>
      <c r="H110" s="33">
        <f t="shared" si="16"/>
        <v>0.80445184294655803</v>
      </c>
      <c r="I110" s="33">
        <f t="shared" si="17"/>
        <v>0.81498158269634768</v>
      </c>
      <c r="J110" s="33">
        <f t="shared" si="18"/>
        <v>0.82379094805927078</v>
      </c>
      <c r="K110" s="33">
        <f t="shared" si="19"/>
        <v>0.83381455923011705</v>
      </c>
      <c r="L110" s="33">
        <f t="shared" si="20"/>
        <v>0.84695189144002514</v>
      </c>
      <c r="M110" s="33">
        <f t="shared" si="21"/>
        <v>0.85721756051742359</v>
      </c>
      <c r="N110" s="33">
        <f t="shared" si="22"/>
        <v>0.86381034433272086</v>
      </c>
      <c r="O110" s="33">
        <f t="shared" si="23"/>
        <v>0.87285004175533687</v>
      </c>
    </row>
    <row r="111" spans="1:15" x14ac:dyDescent="0.25">
      <c r="A111" s="2">
        <v>109</v>
      </c>
      <c r="B111" s="33">
        <f>TPR($B$1,$A111,dr)</f>
        <v>0.75503026057084333</v>
      </c>
      <c r="C111" s="33">
        <f>TPR($C$1,$A111,dr)</f>
        <v>0.76407479937405909</v>
      </c>
      <c r="D111" s="33">
        <f t="shared" si="12"/>
        <v>0.77302540712637902</v>
      </c>
      <c r="E111" s="33">
        <f t="shared" si="13"/>
        <v>0.78026645297749475</v>
      </c>
      <c r="F111" s="33">
        <f t="shared" si="14"/>
        <v>0.78702168653281612</v>
      </c>
      <c r="G111" s="33">
        <f t="shared" si="15"/>
        <v>0.79420673302994227</v>
      </c>
      <c r="H111" s="33">
        <f t="shared" si="16"/>
        <v>0.80120788808328358</v>
      </c>
      <c r="I111" s="33">
        <f t="shared" si="17"/>
        <v>0.8117693888431865</v>
      </c>
      <c r="J111" s="33">
        <f t="shared" si="18"/>
        <v>0.8207566279144819</v>
      </c>
      <c r="K111" s="33">
        <f t="shared" si="19"/>
        <v>0.83094744494267003</v>
      </c>
      <c r="L111" s="33">
        <f t="shared" si="20"/>
        <v>0.84432128866268363</v>
      </c>
      <c r="M111" s="33">
        <f t="shared" si="21"/>
        <v>0.8546917095427079</v>
      </c>
      <c r="N111" s="33">
        <f t="shared" si="22"/>
        <v>0.86127630220414564</v>
      </c>
      <c r="O111" s="33">
        <f t="shared" si="23"/>
        <v>0.8703551337070784</v>
      </c>
    </row>
    <row r="112" spans="1:15" x14ac:dyDescent="0.25">
      <c r="A112" s="2">
        <v>110</v>
      </c>
      <c r="B112" s="33">
        <f>TPR($B$1,$A112,dr)</f>
        <v>0.75128721141006705</v>
      </c>
      <c r="C112" s="33">
        <f>TPR($C$1,$A112,dr)</f>
        <v>0.76047568619625783</v>
      </c>
      <c r="D112" s="33">
        <f t="shared" si="12"/>
        <v>0.76953585602975005</v>
      </c>
      <c r="E112" s="33">
        <f t="shared" si="13"/>
        <v>0.77688491962906792</v>
      </c>
      <c r="F112" s="33">
        <f t="shared" si="14"/>
        <v>0.78380065631623852</v>
      </c>
      <c r="G112" s="33">
        <f t="shared" si="15"/>
        <v>0.79105589134435117</v>
      </c>
      <c r="H112" s="33">
        <f t="shared" si="16"/>
        <v>0.79792501416106643</v>
      </c>
      <c r="I112" s="33">
        <f t="shared" si="17"/>
        <v>0.80840900948452155</v>
      </c>
      <c r="J112" s="33">
        <f t="shared" si="18"/>
        <v>0.81763222632240862</v>
      </c>
      <c r="K112" s="33">
        <f t="shared" si="19"/>
        <v>0.8281926874290011</v>
      </c>
      <c r="L112" s="33">
        <f t="shared" si="20"/>
        <v>0.84185583537971742</v>
      </c>
      <c r="M112" s="33">
        <f t="shared" si="21"/>
        <v>0.85215069292230272</v>
      </c>
      <c r="N112" s="33">
        <f t="shared" si="22"/>
        <v>0.85875911152690765</v>
      </c>
      <c r="O112" s="33">
        <f t="shared" si="23"/>
        <v>0.86786950041671695</v>
      </c>
    </row>
    <row r="113" spans="1:15" x14ac:dyDescent="0.25">
      <c r="A113" s="2">
        <v>111</v>
      </c>
      <c r="B113" s="33">
        <f>TPR($B$1,$A113,dr)</f>
        <v>0.74752710194222127</v>
      </c>
      <c r="C113" s="33">
        <f>TPR($C$1,$A113,dr)</f>
        <v>0.75723909376460852</v>
      </c>
      <c r="D113" s="33">
        <f t="shared" si="12"/>
        <v>0.76632529988560649</v>
      </c>
      <c r="E113" s="33">
        <f t="shared" si="13"/>
        <v>0.77361970154943038</v>
      </c>
      <c r="F113" s="33">
        <f t="shared" si="14"/>
        <v>0.78074823110840075</v>
      </c>
      <c r="G113" s="33">
        <f t="shared" si="15"/>
        <v>0.78807538654930354</v>
      </c>
      <c r="H113" s="33">
        <f t="shared" si="16"/>
        <v>0.79471063761893368</v>
      </c>
      <c r="I113" s="33">
        <f t="shared" si="17"/>
        <v>0.80528979234258113</v>
      </c>
      <c r="J113" s="33">
        <f t="shared" si="18"/>
        <v>0.81472594382504826</v>
      </c>
      <c r="K113" s="33">
        <f t="shared" si="19"/>
        <v>0.82554743418434295</v>
      </c>
      <c r="L113" s="33">
        <f t="shared" si="20"/>
        <v>0.83940429455421972</v>
      </c>
      <c r="M113" s="33">
        <f t="shared" si="21"/>
        <v>0.8495975884394209</v>
      </c>
      <c r="N113" s="33">
        <f t="shared" si="22"/>
        <v>0.85630430934981194</v>
      </c>
      <c r="O113" s="33">
        <f t="shared" si="23"/>
        <v>0.86575173051644738</v>
      </c>
    </row>
    <row r="114" spans="1:15" x14ac:dyDescent="0.25">
      <c r="A114" s="2">
        <v>112</v>
      </c>
      <c r="B114" s="33">
        <f>TPR($B$1,$A114,dr)</f>
        <v>0.74402537758320908</v>
      </c>
      <c r="C114" s="33">
        <f>TPR($C$1,$A114,dr)</f>
        <v>0.75378184751605437</v>
      </c>
      <c r="D114" s="33">
        <f t="shared" si="12"/>
        <v>0.76302008936155985</v>
      </c>
      <c r="E114" s="33">
        <f t="shared" si="13"/>
        <v>0.77027291934786724</v>
      </c>
      <c r="F114" s="33">
        <f t="shared" si="14"/>
        <v>0.77736168451084064</v>
      </c>
      <c r="G114" s="33">
        <f t="shared" si="15"/>
        <v>0.78476786605501803</v>
      </c>
      <c r="H114" s="33">
        <f t="shared" si="16"/>
        <v>0.79140102048793404</v>
      </c>
      <c r="I114" s="33">
        <f t="shared" si="17"/>
        <v>0.8022203473212095</v>
      </c>
      <c r="J114" s="33">
        <f t="shared" si="18"/>
        <v>0.81175182750007335</v>
      </c>
      <c r="K114" s="33">
        <f t="shared" si="19"/>
        <v>0.82269525201835969</v>
      </c>
      <c r="L114" s="33">
        <f t="shared" si="20"/>
        <v>0.83683610489844473</v>
      </c>
      <c r="M114" s="33">
        <f t="shared" si="21"/>
        <v>0.84716150839057669</v>
      </c>
      <c r="N114" s="33">
        <f t="shared" si="22"/>
        <v>0.85393418085758122</v>
      </c>
      <c r="O114" s="33">
        <f t="shared" si="23"/>
        <v>0.8636478118665899</v>
      </c>
    </row>
    <row r="115" spans="1:15" x14ac:dyDescent="0.25">
      <c r="A115" s="2">
        <v>113</v>
      </c>
      <c r="B115" s="33">
        <f>TPR($B$1,$A115,dr)</f>
        <v>0.74036954959839796</v>
      </c>
      <c r="C115" s="33">
        <f>TPR($C$1,$A115,dr)</f>
        <v>0.74979427592749182</v>
      </c>
      <c r="D115" s="33">
        <f t="shared" si="12"/>
        <v>0.75950516020234249</v>
      </c>
      <c r="E115" s="33">
        <f t="shared" si="13"/>
        <v>0.76691482348591256</v>
      </c>
      <c r="F115" s="33">
        <f t="shared" si="14"/>
        <v>0.77372199037271838</v>
      </c>
      <c r="G115" s="33">
        <f t="shared" si="15"/>
        <v>0.78120344180724799</v>
      </c>
      <c r="H115" s="33">
        <f t="shared" si="16"/>
        <v>0.78822854957390909</v>
      </c>
      <c r="I115" s="33">
        <f t="shared" si="17"/>
        <v>0.79926884100006323</v>
      </c>
      <c r="J115" s="33">
        <f t="shared" si="18"/>
        <v>0.80881293027419288</v>
      </c>
      <c r="K115" s="33">
        <f t="shared" si="19"/>
        <v>0.81989468809524957</v>
      </c>
      <c r="L115" s="33">
        <f t="shared" si="20"/>
        <v>0.834176236257123</v>
      </c>
      <c r="M115" s="33">
        <f t="shared" si="21"/>
        <v>0.8447118964941156</v>
      </c>
      <c r="N115" s="33">
        <f t="shared" si="22"/>
        <v>0.85157702179919048</v>
      </c>
      <c r="O115" s="33">
        <f t="shared" si="23"/>
        <v>0.86132892703829833</v>
      </c>
    </row>
    <row r="116" spans="1:15" x14ac:dyDescent="0.25">
      <c r="A116" s="2">
        <v>114</v>
      </c>
      <c r="B116" s="33">
        <f>TPR($B$1,$A116,dr)</f>
        <v>0.73683531142617453</v>
      </c>
      <c r="C116" s="33">
        <f>TPR($C$1,$A116,dr)</f>
        <v>0.74630559439456023</v>
      </c>
      <c r="D116" s="33">
        <f t="shared" si="12"/>
        <v>0.75616446318061437</v>
      </c>
      <c r="E116" s="33">
        <f t="shared" si="13"/>
        <v>0.7634770415485066</v>
      </c>
      <c r="F116" s="33">
        <f t="shared" si="14"/>
        <v>0.7700157987065076</v>
      </c>
      <c r="G116" s="33">
        <f t="shared" si="15"/>
        <v>0.77752361713465279</v>
      </c>
      <c r="H116" s="33">
        <f t="shared" si="16"/>
        <v>0.78501226243365241</v>
      </c>
      <c r="I116" s="33">
        <f t="shared" si="17"/>
        <v>0.79623840913424981</v>
      </c>
      <c r="J116" s="33">
        <f t="shared" si="18"/>
        <v>0.80585741726872007</v>
      </c>
      <c r="K116" s="33">
        <f t="shared" si="19"/>
        <v>0.81708151043958688</v>
      </c>
      <c r="L116" s="33">
        <f t="shared" si="20"/>
        <v>0.83127352685460432</v>
      </c>
      <c r="M116" s="33">
        <f t="shared" si="21"/>
        <v>0.84198893325915458</v>
      </c>
      <c r="N116" s="33">
        <f t="shared" si="22"/>
        <v>0.84912895347294315</v>
      </c>
      <c r="O116" s="33">
        <f t="shared" si="23"/>
        <v>0.85899776262644911</v>
      </c>
    </row>
    <row r="117" spans="1:15" x14ac:dyDescent="0.25">
      <c r="A117" s="2">
        <v>115</v>
      </c>
      <c r="B117" s="33">
        <f>TPR($B$1,$A117,dr)</f>
        <v>0.73328490486848141</v>
      </c>
      <c r="C117" s="33">
        <f>TPR($C$1,$A117,dr)</f>
        <v>0.74308378811349174</v>
      </c>
      <c r="D117" s="33">
        <f t="shared" si="12"/>
        <v>0.75289532559479866</v>
      </c>
      <c r="E117" s="33">
        <f t="shared" si="13"/>
        <v>0.75995757814537146</v>
      </c>
      <c r="F117" s="33">
        <f t="shared" si="14"/>
        <v>0.76644759176731492</v>
      </c>
      <c r="G117" s="33">
        <f t="shared" si="15"/>
        <v>0.77414453099969704</v>
      </c>
      <c r="H117" s="33">
        <f t="shared" si="16"/>
        <v>0.78186325756358532</v>
      </c>
      <c r="I117" s="33">
        <f t="shared" si="17"/>
        <v>0.79312709948520888</v>
      </c>
      <c r="J117" s="33">
        <f t="shared" si="18"/>
        <v>0.80288526170072627</v>
      </c>
      <c r="K117" s="33">
        <f t="shared" si="19"/>
        <v>0.81431841208787625</v>
      </c>
      <c r="L117" s="33">
        <f t="shared" si="20"/>
        <v>0.82848647681133125</v>
      </c>
      <c r="M117" s="33">
        <f t="shared" si="21"/>
        <v>0.83931561257484866</v>
      </c>
      <c r="N117" s="33">
        <f t="shared" si="22"/>
        <v>0.84661813676979736</v>
      </c>
      <c r="O117" s="33">
        <f t="shared" si="23"/>
        <v>0.85675154054387026</v>
      </c>
    </row>
    <row r="118" spans="1:15" x14ac:dyDescent="0.25">
      <c r="A118" s="2">
        <v>116</v>
      </c>
      <c r="B118" s="33">
        <f>TPR($B$1,$A118,dr)</f>
        <v>0.72985703068195074</v>
      </c>
      <c r="C118" s="33">
        <f>TPR($C$1,$A118,dr)</f>
        <v>0.7398876897581953</v>
      </c>
      <c r="D118" s="33">
        <f t="shared" si="12"/>
        <v>0.74969277094720677</v>
      </c>
      <c r="E118" s="33">
        <f t="shared" si="13"/>
        <v>0.75649402927689979</v>
      </c>
      <c r="F118" s="33">
        <f t="shared" si="14"/>
        <v>0.76296221951829568</v>
      </c>
      <c r="G118" s="33">
        <f t="shared" si="15"/>
        <v>0.77093978671012575</v>
      </c>
      <c r="H118" s="33">
        <f t="shared" si="16"/>
        <v>0.77869952806593978</v>
      </c>
      <c r="I118" s="33">
        <f t="shared" si="17"/>
        <v>0.7900641735588374</v>
      </c>
      <c r="J118" s="33">
        <f t="shared" si="18"/>
        <v>0.79987960704896022</v>
      </c>
      <c r="K118" s="33">
        <f t="shared" si="19"/>
        <v>0.81134474533529322</v>
      </c>
      <c r="L118" s="33">
        <f t="shared" si="20"/>
        <v>0.82585925770143354</v>
      </c>
      <c r="M118" s="33">
        <f t="shared" si="21"/>
        <v>0.8368895562149824</v>
      </c>
      <c r="N118" s="33">
        <f t="shared" si="22"/>
        <v>0.84422286501625077</v>
      </c>
      <c r="O118" s="33">
        <f t="shared" si="23"/>
        <v>0.85439470297409603</v>
      </c>
    </row>
    <row r="119" spans="1:15" x14ac:dyDescent="0.25">
      <c r="A119" s="2">
        <v>117</v>
      </c>
      <c r="B119" s="33">
        <f>TPR($B$1,$A119,dr)</f>
        <v>0.7264134372770209</v>
      </c>
      <c r="C119" s="33">
        <f>TPR($C$1,$A119,dr)</f>
        <v>0.73648753132942724</v>
      </c>
      <c r="D119" s="33">
        <f t="shared" si="12"/>
        <v>0.74612694584344941</v>
      </c>
      <c r="E119" s="33">
        <f t="shared" si="13"/>
        <v>0.75306280794507008</v>
      </c>
      <c r="F119" s="33">
        <f t="shared" si="14"/>
        <v>0.75979280018801842</v>
      </c>
      <c r="G119" s="33">
        <f t="shared" si="15"/>
        <v>0.76764927366308666</v>
      </c>
      <c r="H119" s="33">
        <f t="shared" si="16"/>
        <v>0.77532088137031674</v>
      </c>
      <c r="I119" s="33">
        <f t="shared" si="17"/>
        <v>0.78699199290310307</v>
      </c>
      <c r="J119" s="33">
        <f t="shared" si="18"/>
        <v>0.79677880816045998</v>
      </c>
      <c r="K119" s="33">
        <f t="shared" si="19"/>
        <v>0.80841774131189126</v>
      </c>
      <c r="L119" s="33">
        <f t="shared" si="20"/>
        <v>0.82304528280870193</v>
      </c>
      <c r="M119" s="33">
        <f t="shared" si="21"/>
        <v>0.83418686010828424</v>
      </c>
      <c r="N119" s="33">
        <f t="shared" si="22"/>
        <v>0.84178213849393413</v>
      </c>
      <c r="O119" s="33">
        <f t="shared" si="23"/>
        <v>0.85215355108858126</v>
      </c>
    </row>
    <row r="120" spans="1:15" x14ac:dyDescent="0.25">
      <c r="A120" s="2">
        <v>118</v>
      </c>
      <c r="B120" s="33">
        <f>TPR($B$1,$A120,dr)</f>
        <v>0.72323254169584283</v>
      </c>
      <c r="C120" s="33">
        <f>TPR($C$1,$A120,dr)</f>
        <v>0.73297118552342766</v>
      </c>
      <c r="D120" s="33">
        <f t="shared" si="12"/>
        <v>0.74251138794250138</v>
      </c>
      <c r="E120" s="33">
        <f t="shared" si="13"/>
        <v>0.74968273057275403</v>
      </c>
      <c r="F120" s="33">
        <f t="shared" si="14"/>
        <v>0.75656090343346016</v>
      </c>
      <c r="G120" s="33">
        <f t="shared" si="15"/>
        <v>0.76431776072007673</v>
      </c>
      <c r="H120" s="33">
        <f t="shared" si="16"/>
        <v>0.77212474069819292</v>
      </c>
      <c r="I120" s="33">
        <f t="shared" si="17"/>
        <v>0.7838369344522722</v>
      </c>
      <c r="J120" s="33">
        <f t="shared" si="18"/>
        <v>0.79375951258549571</v>
      </c>
      <c r="K120" s="33">
        <f t="shared" si="19"/>
        <v>0.80561202729071746</v>
      </c>
      <c r="L120" s="33">
        <f t="shared" si="20"/>
        <v>0.8202933561906548</v>
      </c>
      <c r="M120" s="33">
        <f t="shared" si="21"/>
        <v>0.83153690951896098</v>
      </c>
      <c r="N120" s="33">
        <f t="shared" si="22"/>
        <v>0.83927913180540437</v>
      </c>
      <c r="O120" s="33">
        <f t="shared" si="23"/>
        <v>0.84977225067167772</v>
      </c>
    </row>
    <row r="121" spans="1:15" x14ac:dyDescent="0.25">
      <c r="A121" s="2">
        <v>119</v>
      </c>
      <c r="B121" s="33">
        <f>TPR($B$1,$A121,dr)</f>
        <v>0.72003687476177158</v>
      </c>
      <c r="C121" s="33">
        <f>TPR($C$1,$A121,dr)</f>
        <v>0.72953519147481705</v>
      </c>
      <c r="D121" s="33">
        <f t="shared" si="12"/>
        <v>0.73901567945899604</v>
      </c>
      <c r="E121" s="33">
        <f t="shared" si="13"/>
        <v>0.74641898053686606</v>
      </c>
      <c r="F121" s="33">
        <f t="shared" si="14"/>
        <v>0.75340217752579308</v>
      </c>
      <c r="G121" s="33">
        <f t="shared" si="15"/>
        <v>0.76100351276417177</v>
      </c>
      <c r="H121" s="33">
        <f t="shared" si="16"/>
        <v>0.76894749206013868</v>
      </c>
      <c r="I121" s="33">
        <f t="shared" si="17"/>
        <v>0.78057192042373758</v>
      </c>
      <c r="J121" s="33">
        <f t="shared" si="18"/>
        <v>0.79092713301355333</v>
      </c>
      <c r="K121" s="33">
        <f t="shared" si="19"/>
        <v>0.80272346011194551</v>
      </c>
      <c r="L121" s="33">
        <f t="shared" si="20"/>
        <v>0.81775176658179527</v>
      </c>
      <c r="M121" s="33">
        <f t="shared" si="21"/>
        <v>0.82926118941039573</v>
      </c>
      <c r="N121" s="33">
        <f t="shared" si="22"/>
        <v>0.83700922055417371</v>
      </c>
      <c r="O121" s="33">
        <f t="shared" si="23"/>
        <v>0.84752622162697366</v>
      </c>
    </row>
    <row r="122" spans="1:15" x14ac:dyDescent="0.25">
      <c r="A122" s="2">
        <v>120</v>
      </c>
      <c r="B122" s="33">
        <f>TPR($B$1,$A122,dr)</f>
        <v>0.71682641524708024</v>
      </c>
      <c r="C122" s="33">
        <f>TPR($C$1,$A122,dr)</f>
        <v>0.72599211718828982</v>
      </c>
      <c r="D122" s="33">
        <f t="shared" si="12"/>
        <v>0.73567951366994133</v>
      </c>
      <c r="E122" s="33">
        <f t="shared" si="13"/>
        <v>0.74316599590291121</v>
      </c>
      <c r="F122" s="33">
        <f t="shared" si="14"/>
        <v>0.75011761475306138</v>
      </c>
      <c r="G122" s="33">
        <f t="shared" si="15"/>
        <v>0.75797144529676064</v>
      </c>
      <c r="H122" s="33">
        <f t="shared" si="16"/>
        <v>0.76580200742591598</v>
      </c>
      <c r="I122" s="33">
        <f t="shared" si="17"/>
        <v>0.77736470004760272</v>
      </c>
      <c r="J122" s="33">
        <f t="shared" si="18"/>
        <v>0.78795230839820518</v>
      </c>
      <c r="K122" s="33">
        <f t="shared" si="19"/>
        <v>0.79968944141023723</v>
      </c>
      <c r="L122" s="33">
        <f t="shared" si="20"/>
        <v>0.8152136359764548</v>
      </c>
      <c r="M122" s="33">
        <f t="shared" si="21"/>
        <v>0.82698187585805716</v>
      </c>
      <c r="N122" s="33">
        <f t="shared" si="22"/>
        <v>0.83469295879558592</v>
      </c>
      <c r="O122" s="33">
        <f t="shared" si="23"/>
        <v>0.84539538529240321</v>
      </c>
    </row>
    <row r="123" spans="1:15" x14ac:dyDescent="0.25">
      <c r="A123" s="2">
        <v>121</v>
      </c>
      <c r="B123" s="33">
        <f>TPR($B$1,$A123,dr)</f>
        <v>0.71346117673154996</v>
      </c>
      <c r="C123" s="33">
        <f>TPR($C$1,$A123,dr)</f>
        <v>0.72267095058782149</v>
      </c>
      <c r="D123" s="33">
        <f t="shared" si="12"/>
        <v>0.73234629848029664</v>
      </c>
      <c r="E123" s="33">
        <f t="shared" si="13"/>
        <v>0.73981743015257062</v>
      </c>
      <c r="F123" s="33">
        <f t="shared" si="14"/>
        <v>0.74694863664513322</v>
      </c>
      <c r="G123" s="33">
        <f t="shared" si="15"/>
        <v>0.75506042868605983</v>
      </c>
      <c r="H123" s="33">
        <f t="shared" si="16"/>
        <v>0.76283472682934028</v>
      </c>
      <c r="I123" s="33">
        <f t="shared" si="17"/>
        <v>0.77436329447532448</v>
      </c>
      <c r="J123" s="33">
        <f t="shared" si="18"/>
        <v>0.78492710770238872</v>
      </c>
      <c r="K123" s="33">
        <f t="shared" si="19"/>
        <v>0.79665048108146708</v>
      </c>
      <c r="L123" s="33">
        <f t="shared" si="20"/>
        <v>0.81238050969561693</v>
      </c>
      <c r="M123" s="33">
        <f t="shared" si="21"/>
        <v>0.82448136726038623</v>
      </c>
      <c r="N123" s="33">
        <f t="shared" si="22"/>
        <v>0.83241031414275368</v>
      </c>
      <c r="O123" s="33">
        <f t="shared" si="23"/>
        <v>0.84308735964144876</v>
      </c>
    </row>
    <row r="124" spans="1:15" x14ac:dyDescent="0.25">
      <c r="A124" s="2">
        <v>122</v>
      </c>
      <c r="B124" s="33">
        <f>TPR($B$1,$A124,dr)</f>
        <v>0.70965996306760548</v>
      </c>
      <c r="C124" s="33">
        <f>TPR($C$1,$A124,dr)</f>
        <v>0.71919937728710759</v>
      </c>
      <c r="D124" s="33">
        <f t="shared" si="12"/>
        <v>0.72899877238910205</v>
      </c>
      <c r="E124" s="33">
        <f t="shared" si="13"/>
        <v>0.73645362788083257</v>
      </c>
      <c r="F124" s="33">
        <f t="shared" si="14"/>
        <v>0.74362074975786707</v>
      </c>
      <c r="G124" s="33">
        <f t="shared" si="15"/>
        <v>0.75183127181462461</v>
      </c>
      <c r="H124" s="33">
        <f t="shared" si="16"/>
        <v>0.75990560779796701</v>
      </c>
      <c r="I124" s="33">
        <f t="shared" si="17"/>
        <v>0.77156518421605702</v>
      </c>
      <c r="J124" s="33">
        <f t="shared" si="18"/>
        <v>0.78197942422493916</v>
      </c>
      <c r="K124" s="33">
        <f t="shared" si="19"/>
        <v>0.79386045299727925</v>
      </c>
      <c r="L124" s="33">
        <f t="shared" si="20"/>
        <v>0.80964478176032495</v>
      </c>
      <c r="M124" s="33">
        <f t="shared" si="21"/>
        <v>0.82190681493884832</v>
      </c>
      <c r="N124" s="33">
        <f t="shared" si="22"/>
        <v>0.82993967373283117</v>
      </c>
      <c r="O124" s="33">
        <f t="shared" si="23"/>
        <v>0.84051062506940577</v>
      </c>
    </row>
    <row r="125" spans="1:15" x14ac:dyDescent="0.25">
      <c r="A125" s="2">
        <v>123</v>
      </c>
      <c r="B125" s="33">
        <f>TPR($B$1,$A125,dr)</f>
        <v>0.70598236312153573</v>
      </c>
      <c r="C125" s="33">
        <f>TPR($C$1,$A125,dr)</f>
        <v>0.71594164551430772</v>
      </c>
      <c r="D125" s="33">
        <f t="shared" si="12"/>
        <v>0.72575703602474861</v>
      </c>
      <c r="E125" s="33">
        <f t="shared" si="13"/>
        <v>0.73301306299944347</v>
      </c>
      <c r="F125" s="33">
        <f t="shared" si="14"/>
        <v>0.74014279930357618</v>
      </c>
      <c r="G125" s="33">
        <f t="shared" si="15"/>
        <v>0.74845010974350679</v>
      </c>
      <c r="H125" s="33">
        <f t="shared" si="16"/>
        <v>0.75680749271401704</v>
      </c>
      <c r="I125" s="33">
        <f t="shared" si="17"/>
        <v>0.76873266234251769</v>
      </c>
      <c r="J125" s="33">
        <f t="shared" si="18"/>
        <v>0.77918901684683151</v>
      </c>
      <c r="K125" s="33">
        <f t="shared" si="19"/>
        <v>0.79111751228043758</v>
      </c>
      <c r="L125" s="33">
        <f t="shared" si="20"/>
        <v>0.80702569532732482</v>
      </c>
      <c r="M125" s="33">
        <f t="shared" si="21"/>
        <v>0.81938983350453332</v>
      </c>
      <c r="N125" s="33">
        <f t="shared" si="22"/>
        <v>0.82745650993757791</v>
      </c>
      <c r="O125" s="33">
        <f t="shared" si="23"/>
        <v>0.83821336346738329</v>
      </c>
    </row>
    <row r="126" spans="1:15" x14ac:dyDescent="0.25">
      <c r="A126" s="2">
        <v>124</v>
      </c>
      <c r="B126" s="33">
        <f>TPR($B$1,$A126,dr)</f>
        <v>0.70228838848302177</v>
      </c>
      <c r="C126" s="33">
        <f>TPR($C$1,$A126,dr)</f>
        <v>0.71257363666985329</v>
      </c>
      <c r="D126" s="33">
        <f t="shared" si="12"/>
        <v>0.72251925904966996</v>
      </c>
      <c r="E126" s="33">
        <f t="shared" si="13"/>
        <v>0.72975536502563565</v>
      </c>
      <c r="F126" s="33">
        <f t="shared" si="14"/>
        <v>0.7368739075059596</v>
      </c>
      <c r="G126" s="33">
        <f t="shared" si="15"/>
        <v>0.74509322996416183</v>
      </c>
      <c r="H126" s="33">
        <f t="shared" si="16"/>
        <v>0.75345539901173408</v>
      </c>
      <c r="I126" s="33">
        <f t="shared" si="17"/>
        <v>0.76582705641556681</v>
      </c>
      <c r="J126" s="33">
        <f t="shared" si="18"/>
        <v>0.77634246506195237</v>
      </c>
      <c r="K126" s="33">
        <f t="shared" si="19"/>
        <v>0.78843395381125458</v>
      </c>
      <c r="L126" s="33">
        <f t="shared" si="20"/>
        <v>0.80446614504182601</v>
      </c>
      <c r="M126" s="33">
        <f t="shared" si="21"/>
        <v>0.81687376363467323</v>
      </c>
      <c r="N126" s="33">
        <f t="shared" si="22"/>
        <v>0.8249186388875912</v>
      </c>
      <c r="O126" s="33">
        <f t="shared" si="23"/>
        <v>0.83595970975223532</v>
      </c>
    </row>
    <row r="127" spans="1:15" x14ac:dyDescent="0.25">
      <c r="A127" s="2">
        <v>125</v>
      </c>
      <c r="B127" s="33">
        <f>TPR($B$1,$A127,dr)</f>
        <v>0.69885994022846942</v>
      </c>
      <c r="C127" s="33">
        <f>TPR($C$1,$A127,dr)</f>
        <v>0.70918846894493626</v>
      </c>
      <c r="D127" s="33">
        <f t="shared" si="12"/>
        <v>0.7191300118323728</v>
      </c>
      <c r="E127" s="33">
        <f t="shared" si="13"/>
        <v>0.72646767919877064</v>
      </c>
      <c r="F127" s="33">
        <f t="shared" si="14"/>
        <v>0.73381715816810111</v>
      </c>
      <c r="G127" s="33">
        <f t="shared" si="15"/>
        <v>0.74206683132249229</v>
      </c>
      <c r="H127" s="33">
        <f t="shared" si="16"/>
        <v>0.75017075754261964</v>
      </c>
      <c r="I127" s="33">
        <f t="shared" si="17"/>
        <v>0.762760736989469</v>
      </c>
      <c r="J127" s="33">
        <f t="shared" si="18"/>
        <v>0.7734357590725518</v>
      </c>
      <c r="K127" s="33">
        <f t="shared" si="19"/>
        <v>0.78566530913020549</v>
      </c>
      <c r="L127" s="33">
        <f t="shared" si="20"/>
        <v>0.80167378803279499</v>
      </c>
      <c r="M127" s="33">
        <f t="shared" si="21"/>
        <v>0.81418724590992941</v>
      </c>
      <c r="N127" s="33">
        <f t="shared" si="22"/>
        <v>0.82245254825230985</v>
      </c>
      <c r="O127" s="33">
        <f t="shared" si="23"/>
        <v>0.83362133368834146</v>
      </c>
    </row>
    <row r="128" spans="1:15" x14ac:dyDescent="0.25">
      <c r="A128" s="2">
        <v>126</v>
      </c>
      <c r="B128" s="33">
        <f>TPR($B$1,$A128,dr)</f>
        <v>0.69583970582740062</v>
      </c>
      <c r="C128" s="33">
        <f>TPR($C$1,$A128,dr)</f>
        <v>0.70583581966870557</v>
      </c>
      <c r="D128" s="33">
        <f t="shared" si="12"/>
        <v>0.7158931254637525</v>
      </c>
      <c r="E128" s="33">
        <f t="shared" si="13"/>
        <v>0.72351280810532759</v>
      </c>
      <c r="F128" s="33">
        <f t="shared" si="14"/>
        <v>0.73092723142854743</v>
      </c>
      <c r="G128" s="33">
        <f t="shared" si="15"/>
        <v>0.73908937733124824</v>
      </c>
      <c r="H128" s="33">
        <f t="shared" si="16"/>
        <v>0.74705373631732264</v>
      </c>
      <c r="I128" s="33">
        <f t="shared" si="17"/>
        <v>0.75932147318098986</v>
      </c>
      <c r="J128" s="33">
        <f t="shared" si="18"/>
        <v>0.77033771482268021</v>
      </c>
      <c r="K128" s="33">
        <f t="shared" si="19"/>
        <v>0.78273576890786956</v>
      </c>
      <c r="L128" s="33">
        <f t="shared" si="20"/>
        <v>0.79886892360813222</v>
      </c>
      <c r="M128" s="33">
        <f t="shared" si="21"/>
        <v>0.81154326832988399</v>
      </c>
      <c r="N128" s="33">
        <f t="shared" si="22"/>
        <v>0.82010347349557344</v>
      </c>
      <c r="O128" s="33">
        <f t="shared" si="23"/>
        <v>0.83132913890575011</v>
      </c>
    </row>
    <row r="129" spans="1:15" x14ac:dyDescent="0.25">
      <c r="A129" s="2">
        <v>127</v>
      </c>
      <c r="B129" s="33">
        <f>TPR($B$1,$A129,dr)</f>
        <v>0.69280552764848968</v>
      </c>
      <c r="C129" s="33">
        <f>TPR($C$1,$A129,dr)</f>
        <v>0.70265535607263763</v>
      </c>
      <c r="D129" s="33">
        <f t="shared" si="12"/>
        <v>0.71276340173040131</v>
      </c>
      <c r="E129" s="33">
        <f t="shared" si="13"/>
        <v>0.72042361808991295</v>
      </c>
      <c r="F129" s="33">
        <f t="shared" si="14"/>
        <v>0.72784136100775276</v>
      </c>
      <c r="G129" s="33">
        <f t="shared" si="15"/>
        <v>0.73609961059752504</v>
      </c>
      <c r="H129" s="33">
        <f t="shared" si="16"/>
        <v>0.74398393976371879</v>
      </c>
      <c r="I129" s="33">
        <f t="shared" si="17"/>
        <v>0.75622246346781119</v>
      </c>
      <c r="J129" s="33">
        <f t="shared" si="18"/>
        <v>0.76731536273995649</v>
      </c>
      <c r="K129" s="33">
        <f t="shared" si="19"/>
        <v>0.77979040617807449</v>
      </c>
      <c r="L129" s="33">
        <f t="shared" si="20"/>
        <v>0.79619611440950411</v>
      </c>
      <c r="M129" s="33">
        <f t="shared" si="21"/>
        <v>0.80908855226712184</v>
      </c>
      <c r="N129" s="33">
        <f t="shared" si="22"/>
        <v>0.81787208268999723</v>
      </c>
      <c r="O129" s="33">
        <f t="shared" si="23"/>
        <v>0.829084647333869</v>
      </c>
    </row>
    <row r="130" spans="1:15" x14ac:dyDescent="0.25">
      <c r="A130" s="2">
        <v>128</v>
      </c>
      <c r="B130" s="33">
        <f>TPR($B$1,$A130,dr)</f>
        <v>0.68961567360587572</v>
      </c>
      <c r="C130" s="33">
        <f>TPR($C$1,$A130,dr)</f>
        <v>0.69941421764046907</v>
      </c>
      <c r="D130" s="33">
        <f t="shared" ref="D130:D193" si="24">TPR($D$1,$A130,dr)</f>
        <v>0.70954298880559463</v>
      </c>
      <c r="E130" s="33">
        <f t="shared" ref="E130:E193" si="25">TPR($E$1,$A130,dr)</f>
        <v>0.71718420170967945</v>
      </c>
      <c r="F130" s="33">
        <f t="shared" ref="F130:F193" si="26">TPR($F$1,$A130,dr)</f>
        <v>0.72469084711157516</v>
      </c>
      <c r="G130" s="33">
        <f t="shared" ref="G130:G193" si="27">TPR($G$1,$A130,dr)</f>
        <v>0.73320506267629415</v>
      </c>
      <c r="H130" s="33">
        <f t="shared" ref="H130:H193" si="28">TPR($H$1,$A130,dr)</f>
        <v>0.74095146933001488</v>
      </c>
      <c r="I130" s="33">
        <f t="shared" ref="I130:I193" si="29">TPR($I$1,$A130,dr)</f>
        <v>0.75335435136105666</v>
      </c>
      <c r="J130" s="33">
        <f t="shared" ref="J130:J193" si="30">TPR($J$1,$A130,dr)</f>
        <v>0.76418955017248569</v>
      </c>
      <c r="K130" s="33">
        <f t="shared" ref="K130:K193" si="31">TPR($K$1,$A130,dr)</f>
        <v>0.77682919613616674</v>
      </c>
      <c r="L130" s="33">
        <f t="shared" ref="L130:L193" si="32">TPR($L$1,$A130,dr)</f>
        <v>0.79343760824984111</v>
      </c>
      <c r="M130" s="33">
        <f t="shared" ref="M130:M193" si="33">TPR($M$1,$A130,dr)</f>
        <v>0.80648796170773385</v>
      </c>
      <c r="N130" s="33">
        <f t="shared" ref="N130:N193" si="34">TPR($N$1,$A130,dr)</f>
        <v>0.81549676388621972</v>
      </c>
      <c r="O130" s="33">
        <f t="shared" ref="O130:O193" si="35">TPR($O$1,$A130,dr)</f>
        <v>0.82684216321062776</v>
      </c>
    </row>
    <row r="131" spans="1:15" x14ac:dyDescent="0.25">
      <c r="A131" s="2">
        <v>129</v>
      </c>
      <c r="B131" s="33">
        <f>TPR($B$1,$A131,dr)</f>
        <v>0.68655329771347084</v>
      </c>
      <c r="C131" s="33">
        <f>TPR($C$1,$A131,dr)</f>
        <v>0.69611512277416232</v>
      </c>
      <c r="D131" s="33">
        <f t="shared" si="24"/>
        <v>0.70616944953747218</v>
      </c>
      <c r="E131" s="33">
        <f t="shared" si="25"/>
        <v>0.71379381827471688</v>
      </c>
      <c r="F131" s="33">
        <f t="shared" si="26"/>
        <v>0.721385792970197</v>
      </c>
      <c r="G131" s="33">
        <f t="shared" si="27"/>
        <v>0.73019155796526103</v>
      </c>
      <c r="H131" s="33">
        <f t="shared" si="28"/>
        <v>0.73789998850441396</v>
      </c>
      <c r="I131" s="33">
        <f t="shared" si="29"/>
        <v>0.75064973295453108</v>
      </c>
      <c r="J131" s="33">
        <f t="shared" si="30"/>
        <v>0.761407986657757</v>
      </c>
      <c r="K131" s="33">
        <f t="shared" si="31"/>
        <v>0.77406060379676334</v>
      </c>
      <c r="L131" s="33">
        <f t="shared" si="32"/>
        <v>0.79079803409660043</v>
      </c>
      <c r="M131" s="33">
        <f t="shared" si="33"/>
        <v>0.80389136667605543</v>
      </c>
      <c r="N131" s="33">
        <f t="shared" si="34"/>
        <v>0.81293549589924663</v>
      </c>
      <c r="O131" s="33">
        <f t="shared" si="35"/>
        <v>0.82453950756567806</v>
      </c>
    </row>
    <row r="132" spans="1:15" x14ac:dyDescent="0.25">
      <c r="A132" s="2">
        <v>130</v>
      </c>
      <c r="B132" s="33">
        <f>TPR($B$1,$A132,dr)</f>
        <v>0.6833347048034728</v>
      </c>
      <c r="C132" s="33">
        <f>TPR($C$1,$A132,dr)</f>
        <v>0.69266301836828936</v>
      </c>
      <c r="D132" s="33">
        <f t="shared" si="24"/>
        <v>0.70271696923025162</v>
      </c>
      <c r="E132" s="33">
        <f t="shared" si="25"/>
        <v>0.71050632247982703</v>
      </c>
      <c r="F132" s="33">
        <f t="shared" si="26"/>
        <v>0.71825067937364073</v>
      </c>
      <c r="G132" s="33">
        <f t="shared" si="27"/>
        <v>0.72713924237142025</v>
      </c>
      <c r="H132" s="33">
        <f t="shared" si="28"/>
        <v>0.73465110020854929</v>
      </c>
      <c r="I132" s="33">
        <f t="shared" si="29"/>
        <v>0.7474894505587083</v>
      </c>
      <c r="J132" s="33">
        <f t="shared" si="30"/>
        <v>0.75852228410860689</v>
      </c>
      <c r="K132" s="33">
        <f t="shared" si="31"/>
        <v>0.77116494623097598</v>
      </c>
      <c r="L132" s="33">
        <f t="shared" si="32"/>
        <v>0.78809542930051024</v>
      </c>
      <c r="M132" s="33">
        <f t="shared" si="33"/>
        <v>0.80135801494983383</v>
      </c>
      <c r="N132" s="33">
        <f t="shared" si="34"/>
        <v>0.81044310041412593</v>
      </c>
      <c r="O132" s="33">
        <f t="shared" si="35"/>
        <v>0.82234312852420111</v>
      </c>
    </row>
    <row r="133" spans="1:15" x14ac:dyDescent="0.25">
      <c r="A133" s="2">
        <v>131</v>
      </c>
      <c r="B133" s="33">
        <f>TPR($B$1,$A133,dr)</f>
        <v>0.68024405070910798</v>
      </c>
      <c r="C133" s="33">
        <f>TPR($C$1,$A133,dr)</f>
        <v>0.68952131509947234</v>
      </c>
      <c r="D133" s="33">
        <f t="shared" si="24"/>
        <v>0.69951617916530762</v>
      </c>
      <c r="E133" s="33">
        <f t="shared" si="25"/>
        <v>0.70734090613278144</v>
      </c>
      <c r="F133" s="33">
        <f t="shared" si="26"/>
        <v>0.7151117208394927</v>
      </c>
      <c r="G133" s="33">
        <f t="shared" si="27"/>
        <v>0.72390674795680987</v>
      </c>
      <c r="H133" s="33">
        <f t="shared" si="28"/>
        <v>0.73164042893830217</v>
      </c>
      <c r="I133" s="33">
        <f t="shared" si="29"/>
        <v>0.74425494966197581</v>
      </c>
      <c r="J133" s="33">
        <f t="shared" si="30"/>
        <v>0.75553005766885262</v>
      </c>
      <c r="K133" s="33">
        <f t="shared" si="31"/>
        <v>0.76831287619327093</v>
      </c>
      <c r="L133" s="33">
        <f t="shared" si="32"/>
        <v>0.78543884490987159</v>
      </c>
      <c r="M133" s="33">
        <f t="shared" si="33"/>
        <v>0.79875759821568382</v>
      </c>
      <c r="N133" s="33">
        <f t="shared" si="34"/>
        <v>0.80792465916596001</v>
      </c>
      <c r="O133" s="33">
        <f t="shared" si="35"/>
        <v>0.82025610069989552</v>
      </c>
    </row>
    <row r="134" spans="1:15" x14ac:dyDescent="0.25">
      <c r="A134" s="2">
        <v>132</v>
      </c>
      <c r="B134" s="33">
        <f>TPR($B$1,$A134,dr)</f>
        <v>0.67728206822059833</v>
      </c>
      <c r="C134" s="33">
        <f>TPR($C$1,$A134,dr)</f>
        <v>0.68659825658860407</v>
      </c>
      <c r="D134" s="33">
        <f t="shared" si="24"/>
        <v>0.69643178472885159</v>
      </c>
      <c r="E134" s="33">
        <f t="shared" si="25"/>
        <v>0.70427532249918723</v>
      </c>
      <c r="F134" s="33">
        <f t="shared" si="26"/>
        <v>0.71215300850939078</v>
      </c>
      <c r="G134" s="33">
        <f t="shared" si="27"/>
        <v>0.72068176220456615</v>
      </c>
      <c r="H134" s="33">
        <f t="shared" si="28"/>
        <v>0.72876595490698948</v>
      </c>
      <c r="I134" s="33">
        <f t="shared" si="29"/>
        <v>0.74110485772858414</v>
      </c>
      <c r="J134" s="33">
        <f t="shared" si="30"/>
        <v>0.75246922291494167</v>
      </c>
      <c r="K134" s="33">
        <f t="shared" si="31"/>
        <v>0.76558086952683424</v>
      </c>
      <c r="L134" s="33">
        <f t="shared" si="32"/>
        <v>0.78282982081046193</v>
      </c>
      <c r="M134" s="33">
        <f t="shared" si="33"/>
        <v>0.79614659075120497</v>
      </c>
      <c r="N134" s="33">
        <f t="shared" si="34"/>
        <v>0.80526857227841986</v>
      </c>
      <c r="O134" s="33">
        <f t="shared" si="35"/>
        <v>0.81790480283309452</v>
      </c>
    </row>
    <row r="135" spans="1:15" x14ac:dyDescent="0.25">
      <c r="A135" s="2">
        <v>133</v>
      </c>
      <c r="B135" s="33">
        <f>TPR($B$1,$A135,dr)</f>
        <v>0.67416355811444117</v>
      </c>
      <c r="C135" s="33">
        <f>TPR($C$1,$A135,dr)</f>
        <v>0.68361218282011038</v>
      </c>
      <c r="D135" s="33">
        <f t="shared" si="24"/>
        <v>0.69333603727308801</v>
      </c>
      <c r="E135" s="33">
        <f t="shared" si="25"/>
        <v>0.7011354463388455</v>
      </c>
      <c r="F135" s="33">
        <f t="shared" si="26"/>
        <v>0.70912979779794783</v>
      </c>
      <c r="G135" s="33">
        <f t="shared" si="27"/>
        <v>0.71755003482634072</v>
      </c>
      <c r="H135" s="33">
        <f t="shared" si="28"/>
        <v>0.72589818377716298</v>
      </c>
      <c r="I135" s="33">
        <f t="shared" si="29"/>
        <v>0.73832363796014744</v>
      </c>
      <c r="J135" s="33">
        <f t="shared" si="30"/>
        <v>0.74984892802491054</v>
      </c>
      <c r="K135" s="33">
        <f t="shared" si="31"/>
        <v>0.76293762456987224</v>
      </c>
      <c r="L135" s="33">
        <f t="shared" si="32"/>
        <v>0.78014501679391124</v>
      </c>
      <c r="M135" s="33">
        <f t="shared" si="33"/>
        <v>0.79368940428827117</v>
      </c>
      <c r="N135" s="33">
        <f t="shared" si="34"/>
        <v>0.8027983946745807</v>
      </c>
      <c r="O135" s="33">
        <f t="shared" si="35"/>
        <v>0.81541710080149732</v>
      </c>
    </row>
    <row r="136" spans="1:15" x14ac:dyDescent="0.25">
      <c r="A136" s="2">
        <v>134</v>
      </c>
      <c r="B136" s="33">
        <f>TPR($B$1,$A136,dr)</f>
        <v>0.67103096470236012</v>
      </c>
      <c r="C136" s="33">
        <f>TPR($C$1,$A136,dr)</f>
        <v>0.68024734628778916</v>
      </c>
      <c r="D136" s="33">
        <f t="shared" si="24"/>
        <v>0.69011211115882398</v>
      </c>
      <c r="E136" s="33">
        <f t="shared" si="25"/>
        <v>0.69797294561535961</v>
      </c>
      <c r="F136" s="33">
        <f t="shared" si="26"/>
        <v>0.70584284664564889</v>
      </c>
      <c r="G136" s="33">
        <f t="shared" si="27"/>
        <v>0.71449071053518531</v>
      </c>
      <c r="H136" s="33">
        <f t="shared" si="28"/>
        <v>0.72289588501508195</v>
      </c>
      <c r="I136" s="33">
        <f t="shared" si="29"/>
        <v>0.73560843850037638</v>
      </c>
      <c r="J136" s="33">
        <f t="shared" si="30"/>
        <v>0.74717578571745202</v>
      </c>
      <c r="K136" s="33">
        <f t="shared" si="31"/>
        <v>0.76026066200170139</v>
      </c>
      <c r="L136" s="33">
        <f t="shared" si="32"/>
        <v>0.77743851896976779</v>
      </c>
      <c r="M136" s="33">
        <f t="shared" si="33"/>
        <v>0.79119490993847541</v>
      </c>
      <c r="N136" s="33">
        <f t="shared" si="34"/>
        <v>0.80045223153141254</v>
      </c>
      <c r="O136" s="33">
        <f t="shared" si="35"/>
        <v>0.81304647291240772</v>
      </c>
    </row>
    <row r="137" spans="1:15" x14ac:dyDescent="0.25">
      <c r="A137" s="2">
        <v>135</v>
      </c>
      <c r="B137" s="33">
        <f>TPR($B$1,$A137,dr)</f>
        <v>0.6678842680833611</v>
      </c>
      <c r="C137" s="33">
        <f>TPR($C$1,$A137,dr)</f>
        <v>0.67696057842464807</v>
      </c>
      <c r="D137" s="33">
        <f t="shared" si="24"/>
        <v>0.68701120178807051</v>
      </c>
      <c r="E137" s="33">
        <f t="shared" si="25"/>
        <v>0.69499465097046098</v>
      </c>
      <c r="F137" s="33">
        <f t="shared" si="26"/>
        <v>0.70273543260749971</v>
      </c>
      <c r="G137" s="33">
        <f t="shared" si="27"/>
        <v>0.71137163989359398</v>
      </c>
      <c r="H137" s="33">
        <f t="shared" si="28"/>
        <v>0.71961686276399028</v>
      </c>
      <c r="I137" s="33">
        <f t="shared" si="29"/>
        <v>0.73271560658026424</v>
      </c>
      <c r="J137" s="33">
        <f t="shared" si="30"/>
        <v>0.74412397956619081</v>
      </c>
      <c r="K137" s="33">
        <f t="shared" si="31"/>
        <v>0.75741263834438577</v>
      </c>
      <c r="L137" s="33">
        <f t="shared" si="32"/>
        <v>0.77471922917760383</v>
      </c>
      <c r="M137" s="33">
        <f t="shared" si="33"/>
        <v>0.788631131881526</v>
      </c>
      <c r="N137" s="33">
        <f t="shared" si="34"/>
        <v>0.79811732331278828</v>
      </c>
      <c r="O137" s="33">
        <f t="shared" si="35"/>
        <v>0.81091932786310761</v>
      </c>
    </row>
    <row r="138" spans="1:15" x14ac:dyDescent="0.25">
      <c r="A138" s="2">
        <v>136</v>
      </c>
      <c r="B138" s="33">
        <f>TPR($B$1,$A138,dr)</f>
        <v>0.66472344835644948</v>
      </c>
      <c r="C138" s="33">
        <f>TPR($C$1,$A138,dr)</f>
        <v>0.6737513531138285</v>
      </c>
      <c r="D138" s="33">
        <f t="shared" si="24"/>
        <v>0.68396091086982114</v>
      </c>
      <c r="E138" s="33">
        <f t="shared" si="25"/>
        <v>0.69206084648697308</v>
      </c>
      <c r="F138" s="33">
        <f t="shared" si="26"/>
        <v>0.69979101511772157</v>
      </c>
      <c r="G138" s="33">
        <f t="shared" si="27"/>
        <v>0.70851612082557769</v>
      </c>
      <c r="H138" s="33">
        <f t="shared" si="28"/>
        <v>0.71656676663419772</v>
      </c>
      <c r="I138" s="33">
        <f t="shared" si="29"/>
        <v>0.72959541200375033</v>
      </c>
      <c r="J138" s="33">
        <f t="shared" si="30"/>
        <v>0.74095999072351981</v>
      </c>
      <c r="K138" s="33">
        <f t="shared" si="31"/>
        <v>0.75455036924698027</v>
      </c>
      <c r="L138" s="33">
        <f t="shared" si="32"/>
        <v>0.77205679882479417</v>
      </c>
      <c r="M138" s="33">
        <f t="shared" si="33"/>
        <v>0.78613271244469796</v>
      </c>
      <c r="N138" s="33">
        <f t="shared" si="34"/>
        <v>0.79573200494206897</v>
      </c>
      <c r="O138" s="33">
        <f t="shared" si="35"/>
        <v>0.80850998109490457</v>
      </c>
    </row>
    <row r="139" spans="1:15" x14ac:dyDescent="0.25">
      <c r="A139" s="2">
        <v>137</v>
      </c>
      <c r="B139" s="33">
        <f>TPR($B$1,$A139,dr)</f>
        <v>0.66169245985934999</v>
      </c>
      <c r="C139" s="33">
        <f>TPR($C$1,$A139,dr)</f>
        <v>0.67067044951149724</v>
      </c>
      <c r="D139" s="33">
        <f t="shared" si="24"/>
        <v>0.68096286975316778</v>
      </c>
      <c r="E139" s="33">
        <f t="shared" si="25"/>
        <v>0.68911479867835779</v>
      </c>
      <c r="F139" s="33">
        <f t="shared" si="26"/>
        <v>0.69687027508018273</v>
      </c>
      <c r="G139" s="33">
        <f t="shared" si="27"/>
        <v>0.70576650330280077</v>
      </c>
      <c r="H139" s="33">
        <f t="shared" si="28"/>
        <v>0.71349799059061514</v>
      </c>
      <c r="I139" s="33">
        <f t="shared" si="29"/>
        <v>0.72648950651758981</v>
      </c>
      <c r="J139" s="33">
        <f t="shared" si="30"/>
        <v>0.73805004170230937</v>
      </c>
      <c r="K139" s="33">
        <f t="shared" si="31"/>
        <v>0.75183594014891197</v>
      </c>
      <c r="L139" s="33">
        <f t="shared" si="32"/>
        <v>0.76951970273238057</v>
      </c>
      <c r="M139" s="33">
        <f t="shared" si="33"/>
        <v>0.78378211050931768</v>
      </c>
      <c r="N139" s="33">
        <f t="shared" si="34"/>
        <v>0.7934086483371946</v>
      </c>
      <c r="O139" s="33">
        <f t="shared" si="35"/>
        <v>0.8063546375449786</v>
      </c>
    </row>
    <row r="140" spans="1:15" x14ac:dyDescent="0.25">
      <c r="A140" s="2">
        <v>138</v>
      </c>
      <c r="B140" s="33">
        <f>TPR($B$1,$A140,dr)</f>
        <v>0.6587920400258499</v>
      </c>
      <c r="C140" s="33">
        <f>TPR($C$1,$A140,dr)</f>
        <v>0.66771859470533967</v>
      </c>
      <c r="D140" s="33">
        <f t="shared" si="24"/>
        <v>0.67794622404559823</v>
      </c>
      <c r="E140" s="33">
        <f t="shared" si="25"/>
        <v>0.68607184805327126</v>
      </c>
      <c r="F140" s="33">
        <f t="shared" si="26"/>
        <v>0.69389599109984879</v>
      </c>
      <c r="G140" s="33">
        <f t="shared" si="27"/>
        <v>0.70293335343838226</v>
      </c>
      <c r="H140" s="33">
        <f t="shared" si="28"/>
        <v>0.71068736950711831</v>
      </c>
      <c r="I140" s="33">
        <f t="shared" si="29"/>
        <v>0.72350495682633376</v>
      </c>
      <c r="J140" s="33">
        <f t="shared" si="30"/>
        <v>0.73522295915684033</v>
      </c>
      <c r="K140" s="33">
        <f t="shared" si="31"/>
        <v>0.74926906582548047</v>
      </c>
      <c r="L140" s="33">
        <f t="shared" si="32"/>
        <v>0.76716318935616568</v>
      </c>
      <c r="M140" s="33">
        <f t="shared" si="33"/>
        <v>0.78147359965647356</v>
      </c>
      <c r="N140" s="33">
        <f t="shared" si="34"/>
        <v>0.79116829289161728</v>
      </c>
      <c r="O140" s="33">
        <f t="shared" si="35"/>
        <v>0.80418900700166274</v>
      </c>
    </row>
    <row r="141" spans="1:15" x14ac:dyDescent="0.25">
      <c r="A141" s="2">
        <v>139</v>
      </c>
      <c r="B141" s="33">
        <f>TPR($B$1,$A141,dr)</f>
        <v>0.65573396891708069</v>
      </c>
      <c r="C141" s="33">
        <f>TPR($C$1,$A141,dr)</f>
        <v>0.66470194225148505</v>
      </c>
      <c r="D141" s="33">
        <f t="shared" si="24"/>
        <v>0.67477253355772659</v>
      </c>
      <c r="E141" s="33">
        <f t="shared" si="25"/>
        <v>0.68289909525041015</v>
      </c>
      <c r="F141" s="33">
        <f t="shared" si="26"/>
        <v>0.69089716925996369</v>
      </c>
      <c r="G141" s="33">
        <f t="shared" si="27"/>
        <v>0.69971340192413223</v>
      </c>
      <c r="H141" s="33">
        <f t="shared" si="28"/>
        <v>0.70773964865323691</v>
      </c>
      <c r="I141" s="33">
        <f t="shared" si="29"/>
        <v>0.7207258078282055</v>
      </c>
      <c r="J141" s="33">
        <f t="shared" si="30"/>
        <v>0.73248111697237206</v>
      </c>
      <c r="K141" s="33">
        <f t="shared" si="31"/>
        <v>0.74663532273794686</v>
      </c>
      <c r="L141" s="33">
        <f t="shared" si="32"/>
        <v>0.76459203677849752</v>
      </c>
      <c r="M141" s="33">
        <f t="shared" si="33"/>
        <v>0.77898996558881994</v>
      </c>
      <c r="N141" s="33">
        <f t="shared" si="34"/>
        <v>0.78880799505765609</v>
      </c>
      <c r="O141" s="33">
        <f t="shared" si="35"/>
        <v>0.80188630893589685</v>
      </c>
    </row>
    <row r="142" spans="1:15" x14ac:dyDescent="0.25">
      <c r="A142" s="2">
        <v>140</v>
      </c>
      <c r="B142" s="33">
        <f>TPR($B$1,$A142,dr)</f>
        <v>0.65237273706039711</v>
      </c>
      <c r="C142" s="33">
        <f>TPR($C$1,$A142,dr)</f>
        <v>0.66156664462584325</v>
      </c>
      <c r="D142" s="33">
        <f t="shared" si="24"/>
        <v>0.67173112910636057</v>
      </c>
      <c r="E142" s="33">
        <f t="shared" si="25"/>
        <v>0.67993513391656235</v>
      </c>
      <c r="F142" s="33">
        <f t="shared" si="26"/>
        <v>0.6879911896239217</v>
      </c>
      <c r="G142" s="33">
        <f t="shared" si="27"/>
        <v>0.69649558989609961</v>
      </c>
      <c r="H142" s="33">
        <f t="shared" si="28"/>
        <v>0.70490973839416604</v>
      </c>
      <c r="I142" s="33">
        <f t="shared" si="29"/>
        <v>0.71790267672835839</v>
      </c>
      <c r="J142" s="33">
        <f t="shared" si="30"/>
        <v>0.72979108731959574</v>
      </c>
      <c r="K142" s="33">
        <f t="shared" si="31"/>
        <v>0.74380073078462239</v>
      </c>
      <c r="L142" s="33">
        <f t="shared" si="32"/>
        <v>0.76194576754532162</v>
      </c>
      <c r="M142" s="33">
        <f t="shared" si="33"/>
        <v>0.77657470050168265</v>
      </c>
      <c r="N142" s="33">
        <f t="shared" si="34"/>
        <v>0.78647371931501731</v>
      </c>
      <c r="O142" s="33">
        <f t="shared" si="35"/>
        <v>0.79956723842292754</v>
      </c>
    </row>
    <row r="143" spans="1:15" x14ac:dyDescent="0.25">
      <c r="A143" s="2">
        <v>141</v>
      </c>
      <c r="B143" s="33">
        <f>TPR($B$1,$A143,dr)</f>
        <v>0.64885179191356934</v>
      </c>
      <c r="C143" s="33">
        <f>TPR($C$1,$A143,dr)</f>
        <v>0.65800340140713387</v>
      </c>
      <c r="D143" s="33">
        <f t="shared" si="24"/>
        <v>0.66846882854936618</v>
      </c>
      <c r="E143" s="33">
        <f t="shared" si="25"/>
        <v>0.67698879072463869</v>
      </c>
      <c r="F143" s="33">
        <f t="shared" si="26"/>
        <v>0.68504599142765876</v>
      </c>
      <c r="G143" s="33">
        <f t="shared" si="27"/>
        <v>0.69347998671476463</v>
      </c>
      <c r="H143" s="33">
        <f t="shared" si="28"/>
        <v>0.70193391243928727</v>
      </c>
      <c r="I143" s="33">
        <f t="shared" si="29"/>
        <v>0.71504447648707892</v>
      </c>
      <c r="J143" s="33">
        <f t="shared" si="30"/>
        <v>0.72685372743255938</v>
      </c>
      <c r="K143" s="33">
        <f t="shared" si="31"/>
        <v>0.74086941374484994</v>
      </c>
      <c r="L143" s="33">
        <f t="shared" si="32"/>
        <v>0.75928541138488292</v>
      </c>
      <c r="M143" s="33">
        <f t="shared" si="33"/>
        <v>0.77409520272479992</v>
      </c>
      <c r="N143" s="33">
        <f t="shared" si="34"/>
        <v>0.78409900611292915</v>
      </c>
      <c r="O143" s="33">
        <f t="shared" si="35"/>
        <v>0.79736774891506468</v>
      </c>
    </row>
    <row r="144" spans="1:15" x14ac:dyDescent="0.25">
      <c r="A144" s="2">
        <v>142</v>
      </c>
      <c r="B144" s="33">
        <f>TPR($B$1,$A144,dr)</f>
        <v>0.64546083027314283</v>
      </c>
      <c r="C144" s="33">
        <f>TPR($C$1,$A144,dr)</f>
        <v>0.65483792338967572</v>
      </c>
      <c r="D144" s="33">
        <f t="shared" si="24"/>
        <v>0.66561320183100547</v>
      </c>
      <c r="E144" s="33">
        <f t="shared" si="25"/>
        <v>0.67409767622876793</v>
      </c>
      <c r="F144" s="33">
        <f t="shared" si="26"/>
        <v>0.68184527602512346</v>
      </c>
      <c r="G144" s="33">
        <f t="shared" si="27"/>
        <v>0.69033011221099749</v>
      </c>
      <c r="H144" s="33">
        <f t="shared" si="28"/>
        <v>0.69894303985087336</v>
      </c>
      <c r="I144" s="33">
        <f t="shared" si="29"/>
        <v>0.71217433984978418</v>
      </c>
      <c r="J144" s="33">
        <f t="shared" si="30"/>
        <v>0.72397369427277358</v>
      </c>
      <c r="K144" s="33">
        <f t="shared" si="31"/>
        <v>0.73824650158751937</v>
      </c>
      <c r="L144" s="33">
        <f t="shared" si="32"/>
        <v>0.7568124839794792</v>
      </c>
      <c r="M144" s="33">
        <f t="shared" si="33"/>
        <v>0.77165470468473329</v>
      </c>
      <c r="N144" s="33">
        <f t="shared" si="34"/>
        <v>0.78177624171497773</v>
      </c>
      <c r="O144" s="33">
        <f t="shared" si="35"/>
        <v>0.79509138200043927</v>
      </c>
    </row>
    <row r="145" spans="1:15" x14ac:dyDescent="0.25">
      <c r="A145" s="2">
        <v>143</v>
      </c>
      <c r="B145" s="33">
        <f>TPR($B$1,$A145,dr)</f>
        <v>0.64220059156300535</v>
      </c>
      <c r="C145" s="33">
        <f>TPR($C$1,$A145,dr)</f>
        <v>0.65206938083030952</v>
      </c>
      <c r="D145" s="33">
        <f t="shared" si="24"/>
        <v>0.6628143391728486</v>
      </c>
      <c r="E145" s="33">
        <f t="shared" si="25"/>
        <v>0.67088088169653415</v>
      </c>
      <c r="F145" s="33">
        <f t="shared" si="26"/>
        <v>0.67856042215536383</v>
      </c>
      <c r="G145" s="33">
        <f t="shared" si="27"/>
        <v>0.68726925210323375</v>
      </c>
      <c r="H145" s="33">
        <f t="shared" si="28"/>
        <v>0.69579674976669248</v>
      </c>
      <c r="I145" s="33">
        <f t="shared" si="29"/>
        <v>0.70942980981193593</v>
      </c>
      <c r="J145" s="33">
        <f t="shared" si="30"/>
        <v>0.72118203356966193</v>
      </c>
      <c r="K145" s="33">
        <f t="shared" si="31"/>
        <v>0.73550744500899146</v>
      </c>
      <c r="L145" s="33">
        <f t="shared" si="32"/>
        <v>0.75419318944647484</v>
      </c>
      <c r="M145" s="33">
        <f t="shared" si="33"/>
        <v>0.76910023853679765</v>
      </c>
      <c r="N145" s="33">
        <f t="shared" si="34"/>
        <v>0.77917275285189103</v>
      </c>
      <c r="O145" s="33">
        <f t="shared" si="35"/>
        <v>0.79266882073865608</v>
      </c>
    </row>
    <row r="146" spans="1:15" x14ac:dyDescent="0.25">
      <c r="A146" s="2">
        <v>144</v>
      </c>
      <c r="B146" s="33">
        <f>TPR($B$1,$A146,dr)</f>
        <v>0.63921756253055406</v>
      </c>
      <c r="C146" s="33">
        <f>TPR($C$1,$A146,dr)</f>
        <v>0.64930411502318186</v>
      </c>
      <c r="D146" s="33">
        <f t="shared" si="24"/>
        <v>0.66000619603120403</v>
      </c>
      <c r="E146" s="33">
        <f t="shared" si="25"/>
        <v>0.66784546898335162</v>
      </c>
      <c r="F146" s="33">
        <f t="shared" si="26"/>
        <v>0.6755043752114589</v>
      </c>
      <c r="G146" s="33">
        <f t="shared" si="27"/>
        <v>0.68433550122391262</v>
      </c>
      <c r="H146" s="33">
        <f t="shared" si="28"/>
        <v>0.69276345190922484</v>
      </c>
      <c r="I146" s="33">
        <f t="shared" si="29"/>
        <v>0.7064136136109479</v>
      </c>
      <c r="J146" s="33">
        <f t="shared" si="30"/>
        <v>0.71837765034726209</v>
      </c>
      <c r="K146" s="33">
        <f t="shared" si="31"/>
        <v>0.73270529959242703</v>
      </c>
      <c r="L146" s="33">
        <f t="shared" si="32"/>
        <v>0.75149256730666147</v>
      </c>
      <c r="M146" s="33">
        <f t="shared" si="33"/>
        <v>0.76668498802830609</v>
      </c>
      <c r="N146" s="33">
        <f t="shared" si="34"/>
        <v>0.776895346604633</v>
      </c>
      <c r="O146" s="33">
        <f t="shared" si="35"/>
        <v>0.79042958878990388</v>
      </c>
    </row>
    <row r="147" spans="1:15" x14ac:dyDescent="0.25">
      <c r="A147" s="2">
        <v>145</v>
      </c>
      <c r="B147" s="33">
        <f>TPR($B$1,$A147,dr)</f>
        <v>0.6363672472419315</v>
      </c>
      <c r="C147" s="33">
        <f>TPR($C$1,$A147,dr)</f>
        <v>0.64622275841159416</v>
      </c>
      <c r="D147" s="33">
        <f t="shared" si="24"/>
        <v>0.65682900895878105</v>
      </c>
      <c r="E147" s="33">
        <f t="shared" si="25"/>
        <v>0.66481186288392158</v>
      </c>
      <c r="F147" s="33">
        <f t="shared" si="26"/>
        <v>0.67268031157424923</v>
      </c>
      <c r="G147" s="33">
        <f t="shared" si="27"/>
        <v>0.68151373358762135</v>
      </c>
      <c r="H147" s="33">
        <f t="shared" si="28"/>
        <v>0.68972018491496623</v>
      </c>
      <c r="I147" s="33">
        <f t="shared" si="29"/>
        <v>0.70346925260703219</v>
      </c>
      <c r="J147" s="33">
        <f t="shared" si="30"/>
        <v>0.71559349131220995</v>
      </c>
      <c r="K147" s="33">
        <f t="shared" si="31"/>
        <v>0.7300278126982811</v>
      </c>
      <c r="L147" s="33">
        <f t="shared" si="32"/>
        <v>0.74871254647109808</v>
      </c>
      <c r="M147" s="33">
        <f t="shared" si="33"/>
        <v>0.76403468820039389</v>
      </c>
      <c r="N147" s="33">
        <f t="shared" si="34"/>
        <v>0.7745713800725943</v>
      </c>
      <c r="O147" s="33">
        <f t="shared" si="35"/>
        <v>0.78824658616005061</v>
      </c>
    </row>
    <row r="148" spans="1:15" x14ac:dyDescent="0.25">
      <c r="A148" s="2">
        <v>146</v>
      </c>
      <c r="B148" s="33">
        <f>TPR($B$1,$A148,dr)</f>
        <v>0.63365038976459076</v>
      </c>
      <c r="C148" s="33">
        <f>TPR($C$1,$A148,dr)</f>
        <v>0.64318492819387962</v>
      </c>
      <c r="D148" s="33">
        <f t="shared" si="24"/>
        <v>0.65377791211227543</v>
      </c>
      <c r="E148" s="33">
        <f t="shared" si="25"/>
        <v>0.66189163720213007</v>
      </c>
      <c r="F148" s="33">
        <f t="shared" si="26"/>
        <v>0.66970309180446641</v>
      </c>
      <c r="G148" s="33">
        <f t="shared" si="27"/>
        <v>0.67857274627702324</v>
      </c>
      <c r="H148" s="33">
        <f t="shared" si="28"/>
        <v>0.68680055665402051</v>
      </c>
      <c r="I148" s="33">
        <f t="shared" si="29"/>
        <v>0.70068681457167492</v>
      </c>
      <c r="J148" s="33">
        <f t="shared" si="30"/>
        <v>0.71279543050210936</v>
      </c>
      <c r="K148" s="33">
        <f t="shared" si="31"/>
        <v>0.72738863237302853</v>
      </c>
      <c r="L148" s="33">
        <f t="shared" si="32"/>
        <v>0.74598990257667253</v>
      </c>
      <c r="M148" s="33">
        <f t="shared" si="33"/>
        <v>0.76131954847861516</v>
      </c>
      <c r="N148" s="33">
        <f t="shared" si="34"/>
        <v>0.77216319608483686</v>
      </c>
      <c r="O148" s="33">
        <f t="shared" si="35"/>
        <v>0.78612125496666818</v>
      </c>
    </row>
    <row r="149" spans="1:15" x14ac:dyDescent="0.25">
      <c r="A149" s="2">
        <v>147</v>
      </c>
      <c r="B149" s="33">
        <f>TPR($B$1,$A149,dr)</f>
        <v>0.63077471821573661</v>
      </c>
      <c r="C149" s="33">
        <f>TPR($C$1,$A149,dr)</f>
        <v>0.6399919302822672</v>
      </c>
      <c r="D149" s="33">
        <f t="shared" si="24"/>
        <v>0.65077771284724273</v>
      </c>
      <c r="E149" s="33">
        <f t="shared" si="25"/>
        <v>0.65909029146079279</v>
      </c>
      <c r="F149" s="33">
        <f t="shared" si="26"/>
        <v>0.66660447817318202</v>
      </c>
      <c r="G149" s="33">
        <f t="shared" si="27"/>
        <v>0.67563304191549722</v>
      </c>
      <c r="H149" s="33">
        <f t="shared" si="28"/>
        <v>0.68400368523250099</v>
      </c>
      <c r="I149" s="33">
        <f t="shared" si="29"/>
        <v>0.69785383020004765</v>
      </c>
      <c r="J149" s="33">
        <f t="shared" si="30"/>
        <v>0.71005754298347146</v>
      </c>
      <c r="K149" s="33">
        <f t="shared" si="31"/>
        <v>0.72460037491910567</v>
      </c>
      <c r="L149" s="33">
        <f t="shared" si="32"/>
        <v>0.74338574574151706</v>
      </c>
      <c r="M149" s="33">
        <f t="shared" si="33"/>
        <v>0.75875340076816633</v>
      </c>
      <c r="N149" s="33">
        <f t="shared" si="34"/>
        <v>0.76946850557232127</v>
      </c>
      <c r="O149" s="33">
        <f t="shared" si="35"/>
        <v>0.78391341485373145</v>
      </c>
    </row>
    <row r="150" spans="1:15" x14ac:dyDescent="0.25">
      <c r="A150" s="2">
        <v>148</v>
      </c>
      <c r="B150" s="33">
        <f>TPR($B$1,$A150,dr)</f>
        <v>0.62773945137939269</v>
      </c>
      <c r="C150" s="33">
        <f>TPR($C$1,$A150,dr)</f>
        <v>0.63690915265386772</v>
      </c>
      <c r="D150" s="33">
        <f t="shared" si="24"/>
        <v>0.64783824692229286</v>
      </c>
      <c r="E150" s="33">
        <f t="shared" si="25"/>
        <v>0.6562900922100634</v>
      </c>
      <c r="F150" s="33">
        <f t="shared" si="26"/>
        <v>0.66370907429370396</v>
      </c>
      <c r="G150" s="33">
        <f t="shared" si="27"/>
        <v>0.67266508662961744</v>
      </c>
      <c r="H150" s="33">
        <f t="shared" si="28"/>
        <v>0.68105734605344459</v>
      </c>
      <c r="I150" s="33">
        <f t="shared" si="29"/>
        <v>0.69500704803203894</v>
      </c>
      <c r="J150" s="33">
        <f t="shared" si="30"/>
        <v>0.70730848143153557</v>
      </c>
      <c r="K150" s="33">
        <f t="shared" si="31"/>
        <v>0.72179944024762588</v>
      </c>
      <c r="L150" s="33">
        <f t="shared" si="32"/>
        <v>0.74063562582682629</v>
      </c>
      <c r="M150" s="33">
        <f t="shared" si="33"/>
        <v>0.75619622301974165</v>
      </c>
      <c r="N150" s="33">
        <f t="shared" si="34"/>
        <v>0.76720830784391247</v>
      </c>
      <c r="O150" s="33">
        <f t="shared" si="35"/>
        <v>0.78176262028148569</v>
      </c>
    </row>
    <row r="151" spans="1:15" x14ac:dyDescent="0.25">
      <c r="A151" s="2">
        <v>149</v>
      </c>
      <c r="B151" s="33">
        <f>TPR($B$1,$A151,dr)</f>
        <v>0.62454380671285115</v>
      </c>
      <c r="C151" s="33">
        <f>TPR($C$1,$A151,dr)</f>
        <v>0.6340227895584355</v>
      </c>
      <c r="D151" s="33">
        <f t="shared" si="24"/>
        <v>0.64490010182469015</v>
      </c>
      <c r="E151" s="33">
        <f t="shared" si="25"/>
        <v>0.65330171165197071</v>
      </c>
      <c r="F151" s="33">
        <f t="shared" si="26"/>
        <v>0.66099050542858317</v>
      </c>
      <c r="G151" s="33">
        <f t="shared" si="27"/>
        <v>0.66955650060717253</v>
      </c>
      <c r="H151" s="33">
        <f t="shared" si="28"/>
        <v>0.67809269801591965</v>
      </c>
      <c r="I151" s="33">
        <f t="shared" si="29"/>
        <v>0.69223656568084524</v>
      </c>
      <c r="J151" s="33">
        <f t="shared" si="30"/>
        <v>0.70460957261213508</v>
      </c>
      <c r="K151" s="33">
        <f t="shared" si="31"/>
        <v>0.71921222300666943</v>
      </c>
      <c r="L151" s="33">
        <f t="shared" si="32"/>
        <v>0.73807543263680186</v>
      </c>
      <c r="M151" s="33">
        <f t="shared" si="33"/>
        <v>0.75380079924077892</v>
      </c>
      <c r="N151" s="33">
        <f t="shared" si="34"/>
        <v>0.7649671669621243</v>
      </c>
      <c r="O151" s="33">
        <f t="shared" si="35"/>
        <v>0.77960528922261718</v>
      </c>
    </row>
    <row r="152" spans="1:15" x14ac:dyDescent="0.25">
      <c r="A152" s="2">
        <v>150</v>
      </c>
      <c r="B152" s="33">
        <f>TPR($B$1,$A152,dr)</f>
        <v>0.62148154688727908</v>
      </c>
      <c r="C152" s="33">
        <f>TPR($C$1,$A152,dr)</f>
        <v>0.63126684942674516</v>
      </c>
      <c r="D152" s="33">
        <f t="shared" si="24"/>
        <v>0.64209619015750874</v>
      </c>
      <c r="E152" s="33">
        <f t="shared" si="25"/>
        <v>0.6503392411648391</v>
      </c>
      <c r="F152" s="33">
        <f t="shared" si="26"/>
        <v>0.65818490943967634</v>
      </c>
      <c r="G152" s="33">
        <f t="shared" si="27"/>
        <v>0.66654902465559096</v>
      </c>
      <c r="H152" s="33">
        <f t="shared" si="28"/>
        <v>0.67498537767027644</v>
      </c>
      <c r="I152" s="33">
        <f t="shared" si="29"/>
        <v>0.68941123519414671</v>
      </c>
      <c r="J152" s="33">
        <f t="shared" si="30"/>
        <v>0.70194531943880178</v>
      </c>
      <c r="K152" s="33">
        <f t="shared" si="31"/>
        <v>0.71648251933370588</v>
      </c>
      <c r="L152" s="33">
        <f t="shared" si="32"/>
        <v>0.73570494477315751</v>
      </c>
      <c r="M152" s="33">
        <f t="shared" si="33"/>
        <v>0.75157112025021544</v>
      </c>
      <c r="N152" s="33">
        <f t="shared" si="34"/>
        <v>0.7626841230281205</v>
      </c>
      <c r="O152" s="33">
        <f t="shared" si="35"/>
        <v>0.77736723277952635</v>
      </c>
    </row>
    <row r="153" spans="1:15" x14ac:dyDescent="0.25">
      <c r="A153" s="2">
        <v>151</v>
      </c>
      <c r="B153" s="33">
        <f>TPR($B$1,$A153,dr)</f>
        <v>0.61855341862359492</v>
      </c>
      <c r="C153" s="33">
        <f>TPR($C$1,$A153,dr)</f>
        <v>0.62846568631629018</v>
      </c>
      <c r="D153" s="33">
        <f t="shared" si="24"/>
        <v>0.63913930355731108</v>
      </c>
      <c r="E153" s="33">
        <f t="shared" si="25"/>
        <v>0.6472679173218534</v>
      </c>
      <c r="F153" s="33">
        <f t="shared" si="26"/>
        <v>0.65542970442842574</v>
      </c>
      <c r="G153" s="33">
        <f t="shared" si="27"/>
        <v>0.66381164461259157</v>
      </c>
      <c r="H153" s="33">
        <f t="shared" si="28"/>
        <v>0.67214674143654751</v>
      </c>
      <c r="I153" s="33">
        <f t="shared" si="29"/>
        <v>0.68657115970551319</v>
      </c>
      <c r="J153" s="33">
        <f t="shared" si="30"/>
        <v>0.69927147662740363</v>
      </c>
      <c r="K153" s="33">
        <f t="shared" si="31"/>
        <v>0.71378575822123003</v>
      </c>
      <c r="L153" s="33">
        <f t="shared" si="32"/>
        <v>0.73332835585046974</v>
      </c>
      <c r="M153" s="33">
        <f t="shared" si="33"/>
        <v>0.74924177235335587</v>
      </c>
      <c r="N153" s="33">
        <f t="shared" si="34"/>
        <v>0.76030275175860929</v>
      </c>
      <c r="O153" s="33">
        <f t="shared" si="35"/>
        <v>0.77483970635563859</v>
      </c>
    </row>
    <row r="154" spans="1:15" x14ac:dyDescent="0.25">
      <c r="A154" s="2">
        <v>152</v>
      </c>
      <c r="B154" s="33">
        <f>TPR($B$1,$A154,dr)</f>
        <v>0.61561238583899369</v>
      </c>
      <c r="C154" s="33">
        <f>TPR($C$1,$A154,dr)</f>
        <v>0.62538740406537752</v>
      </c>
      <c r="D154" s="33">
        <f t="shared" si="24"/>
        <v>0.63601269273016092</v>
      </c>
      <c r="E154" s="33">
        <f t="shared" si="25"/>
        <v>0.64422566508744716</v>
      </c>
      <c r="F154" s="33">
        <f t="shared" si="26"/>
        <v>0.65257940573689988</v>
      </c>
      <c r="G154" s="33">
        <f t="shared" si="27"/>
        <v>0.66119385757267868</v>
      </c>
      <c r="H154" s="33">
        <f t="shared" si="28"/>
        <v>0.66930498289127427</v>
      </c>
      <c r="I154" s="33">
        <f t="shared" si="29"/>
        <v>0.6838531103621287</v>
      </c>
      <c r="J154" s="33">
        <f t="shared" si="30"/>
        <v>0.69650699291268248</v>
      </c>
      <c r="K154" s="33">
        <f t="shared" si="31"/>
        <v>0.71116469030642815</v>
      </c>
      <c r="L154" s="33">
        <f t="shared" si="32"/>
        <v>0.7308107589166043</v>
      </c>
      <c r="M154" s="33">
        <f t="shared" si="33"/>
        <v>0.74672025218549709</v>
      </c>
      <c r="N154" s="33">
        <f t="shared" si="34"/>
        <v>0.75794209829604609</v>
      </c>
      <c r="O154" s="33">
        <f t="shared" si="35"/>
        <v>0.77243460104306472</v>
      </c>
    </row>
    <row r="155" spans="1:15" x14ac:dyDescent="0.25">
      <c r="A155" s="2">
        <v>153</v>
      </c>
      <c r="B155" s="33">
        <f>TPR($B$1,$A155,dr)</f>
        <v>0.61295451040701576</v>
      </c>
      <c r="C155" s="33">
        <f>TPR($C$1,$A155,dr)</f>
        <v>0.62250111220192872</v>
      </c>
      <c r="D155" s="33">
        <f t="shared" si="24"/>
        <v>0.63328817531736392</v>
      </c>
      <c r="E155" s="33">
        <f t="shared" si="25"/>
        <v>0.6416925806708158</v>
      </c>
      <c r="F155" s="33">
        <f t="shared" si="26"/>
        <v>0.64979816636298593</v>
      </c>
      <c r="G155" s="33">
        <f t="shared" si="27"/>
        <v>0.65843586319043002</v>
      </c>
      <c r="H155" s="33">
        <f t="shared" si="28"/>
        <v>0.66644533650057569</v>
      </c>
      <c r="I155" s="33">
        <f t="shared" si="29"/>
        <v>0.68112256513220559</v>
      </c>
      <c r="J155" s="33">
        <f t="shared" si="30"/>
        <v>0.69350851377082856</v>
      </c>
      <c r="K155" s="33">
        <f t="shared" si="31"/>
        <v>0.70848301946808812</v>
      </c>
      <c r="L155" s="33">
        <f t="shared" si="32"/>
        <v>0.72827466643338079</v>
      </c>
      <c r="M155" s="33">
        <f t="shared" si="33"/>
        <v>0.74422973697466588</v>
      </c>
      <c r="N155" s="33">
        <f t="shared" si="34"/>
        <v>0.75551932348413664</v>
      </c>
      <c r="O155" s="33">
        <f t="shared" si="35"/>
        <v>0.77016099621769052</v>
      </c>
    </row>
    <row r="156" spans="1:15" x14ac:dyDescent="0.25">
      <c r="A156" s="2">
        <v>154</v>
      </c>
      <c r="B156" s="33">
        <f>TPR($B$1,$A156,dr)</f>
        <v>0.61013642268875889</v>
      </c>
      <c r="C156" s="33">
        <f>TPR($C$1,$A156,dr)</f>
        <v>0.61972091444839661</v>
      </c>
      <c r="D156" s="33">
        <f t="shared" si="24"/>
        <v>0.63070252561252438</v>
      </c>
      <c r="E156" s="33">
        <f t="shared" si="25"/>
        <v>0.63915125663837136</v>
      </c>
      <c r="F156" s="33">
        <f t="shared" si="26"/>
        <v>0.64703297843808516</v>
      </c>
      <c r="G156" s="33">
        <f t="shared" si="27"/>
        <v>0.65579937756319995</v>
      </c>
      <c r="H156" s="33">
        <f t="shared" si="28"/>
        <v>0.6635842670475619</v>
      </c>
      <c r="I156" s="33">
        <f t="shared" si="29"/>
        <v>0.67824357458489404</v>
      </c>
      <c r="J156" s="33">
        <f t="shared" si="30"/>
        <v>0.69063373910531878</v>
      </c>
      <c r="K156" s="33">
        <f t="shared" si="31"/>
        <v>0.70588058398215081</v>
      </c>
      <c r="L156" s="33">
        <f t="shared" si="32"/>
        <v>0.72579113150183494</v>
      </c>
      <c r="M156" s="33">
        <f t="shared" si="33"/>
        <v>0.74172775555504777</v>
      </c>
      <c r="N156" s="33">
        <f t="shared" si="34"/>
        <v>0.75289138512964193</v>
      </c>
      <c r="O156" s="33">
        <f t="shared" si="35"/>
        <v>0.76794918722546202</v>
      </c>
    </row>
    <row r="157" spans="1:15" x14ac:dyDescent="0.25">
      <c r="A157" s="2">
        <v>155</v>
      </c>
      <c r="B157" s="33">
        <f>TPR($B$1,$A157,dr)</f>
        <v>0.60715733748804868</v>
      </c>
      <c r="C157" s="33">
        <f>TPR($C$1,$A157,dr)</f>
        <v>0.61686948143729259</v>
      </c>
      <c r="D157" s="33">
        <f t="shared" si="24"/>
        <v>0.62796919204446244</v>
      </c>
      <c r="E157" s="33">
        <f t="shared" si="25"/>
        <v>0.63631416547751707</v>
      </c>
      <c r="F157" s="33">
        <f t="shared" si="26"/>
        <v>0.64402450507969855</v>
      </c>
      <c r="G157" s="33">
        <f t="shared" si="27"/>
        <v>0.65316261299102163</v>
      </c>
      <c r="H157" s="33">
        <f t="shared" si="28"/>
        <v>0.66084481254958893</v>
      </c>
      <c r="I157" s="33">
        <f t="shared" si="29"/>
        <v>0.67553954124021975</v>
      </c>
      <c r="J157" s="33">
        <f t="shared" si="30"/>
        <v>0.68799579229874985</v>
      </c>
      <c r="K157" s="33">
        <f t="shared" si="31"/>
        <v>0.70326807344716713</v>
      </c>
      <c r="L157" s="33">
        <f t="shared" si="32"/>
        <v>0.72301901843531891</v>
      </c>
      <c r="M157" s="33">
        <f t="shared" si="33"/>
        <v>0.73907748868812451</v>
      </c>
      <c r="N157" s="33">
        <f t="shared" si="34"/>
        <v>0.75035688918072707</v>
      </c>
      <c r="O157" s="33">
        <f t="shared" si="35"/>
        <v>0.76566398519285872</v>
      </c>
    </row>
    <row r="158" spans="1:15" x14ac:dyDescent="0.25">
      <c r="A158" s="2">
        <v>156</v>
      </c>
      <c r="B158" s="33">
        <f>TPR($B$1,$A158,dr)</f>
        <v>0.6040164682819773</v>
      </c>
      <c r="C158" s="33">
        <f>TPR($C$1,$A158,dr)</f>
        <v>0.61412009979451643</v>
      </c>
      <c r="D158" s="33">
        <f t="shared" si="24"/>
        <v>0.62517999345942277</v>
      </c>
      <c r="E158" s="33">
        <f t="shared" si="25"/>
        <v>0.63317632064247886</v>
      </c>
      <c r="F158" s="33">
        <f t="shared" si="26"/>
        <v>0.64094472959866611</v>
      </c>
      <c r="G158" s="33">
        <f t="shared" si="27"/>
        <v>0.65025483860907907</v>
      </c>
      <c r="H158" s="33">
        <f t="shared" si="28"/>
        <v>0.65820257290546935</v>
      </c>
      <c r="I158" s="33">
        <f t="shared" si="29"/>
        <v>0.67296407514330692</v>
      </c>
      <c r="J158" s="33">
        <f t="shared" si="30"/>
        <v>0.68545795412535937</v>
      </c>
      <c r="K158" s="33">
        <f t="shared" si="31"/>
        <v>0.70078247855583287</v>
      </c>
      <c r="L158" s="33">
        <f t="shared" si="32"/>
        <v>0.72058496824352725</v>
      </c>
      <c r="M158" s="33">
        <f t="shared" si="33"/>
        <v>0.73673605517336593</v>
      </c>
      <c r="N158" s="33">
        <f t="shared" si="34"/>
        <v>0.74808875107195094</v>
      </c>
      <c r="O158" s="33">
        <f t="shared" si="35"/>
        <v>0.76334751245089683</v>
      </c>
    </row>
    <row r="159" spans="1:15" x14ac:dyDescent="0.25">
      <c r="A159" s="2">
        <v>157</v>
      </c>
      <c r="B159" s="33">
        <f>TPR($B$1,$A159,dr)</f>
        <v>0.60086209237138377</v>
      </c>
      <c r="C159" s="33">
        <f>TPR($C$1,$A159,dr)</f>
        <v>0.6112688425912125</v>
      </c>
      <c r="D159" s="33">
        <f t="shared" si="24"/>
        <v>0.62243694907086589</v>
      </c>
      <c r="E159" s="33">
        <f t="shared" si="25"/>
        <v>0.63035987394825932</v>
      </c>
      <c r="F159" s="33">
        <f t="shared" si="26"/>
        <v>0.63817346059042102</v>
      </c>
      <c r="G159" s="33">
        <f t="shared" si="27"/>
        <v>0.64718896049766461</v>
      </c>
      <c r="H159" s="33">
        <f t="shared" si="28"/>
        <v>0.65540337604346377</v>
      </c>
      <c r="I159" s="33">
        <f t="shared" si="29"/>
        <v>0.67024106603174938</v>
      </c>
      <c r="J159" s="33">
        <f t="shared" si="30"/>
        <v>0.68251429977104749</v>
      </c>
      <c r="K159" s="33">
        <f t="shared" si="31"/>
        <v>0.69809652863436722</v>
      </c>
      <c r="L159" s="33">
        <f t="shared" si="32"/>
        <v>0.71807624684943316</v>
      </c>
      <c r="M159" s="33">
        <f t="shared" si="33"/>
        <v>0.73433305981429997</v>
      </c>
      <c r="N159" s="33">
        <f t="shared" si="34"/>
        <v>0.7459756405579836</v>
      </c>
      <c r="O159" s="33">
        <f t="shared" si="35"/>
        <v>0.76122996659530584</v>
      </c>
    </row>
    <row r="160" spans="1:15" x14ac:dyDescent="0.25">
      <c r="A160" s="2">
        <v>158</v>
      </c>
      <c r="B160" s="33">
        <f>TPR($B$1,$A160,dr)</f>
        <v>0.59799283521770585</v>
      </c>
      <c r="C160" s="33">
        <f>TPR($C$1,$A160,dr)</f>
        <v>0.60852367238294547</v>
      </c>
      <c r="D160" s="33">
        <f t="shared" si="24"/>
        <v>0.61981593586076544</v>
      </c>
      <c r="E160" s="33">
        <f t="shared" si="25"/>
        <v>0.62777307605609611</v>
      </c>
      <c r="F160" s="33">
        <f t="shared" si="26"/>
        <v>0.63558926043781105</v>
      </c>
      <c r="G160" s="33">
        <f t="shared" si="27"/>
        <v>0.64452190150553335</v>
      </c>
      <c r="H160" s="33">
        <f t="shared" si="28"/>
        <v>0.65275641248656457</v>
      </c>
      <c r="I160" s="33">
        <f t="shared" si="29"/>
        <v>0.66716879851487809</v>
      </c>
      <c r="J160" s="33">
        <f t="shared" si="30"/>
        <v>0.67967140618478938</v>
      </c>
      <c r="K160" s="33">
        <f t="shared" si="31"/>
        <v>0.69530775704106695</v>
      </c>
      <c r="L160" s="33">
        <f t="shared" si="32"/>
        <v>0.71553141797792752</v>
      </c>
      <c r="M160" s="33">
        <f t="shared" si="33"/>
        <v>0.73201663610644185</v>
      </c>
      <c r="N160" s="33">
        <f t="shared" si="34"/>
        <v>0.74360213297908984</v>
      </c>
      <c r="O160" s="33">
        <f t="shared" si="35"/>
        <v>0.75896364523000837</v>
      </c>
    </row>
    <row r="161" spans="1:15" x14ac:dyDescent="0.25">
      <c r="A161" s="2">
        <v>159</v>
      </c>
      <c r="B161" s="33">
        <f>TPR($B$1,$A161,dr)</f>
        <v>0.59526064167129722</v>
      </c>
      <c r="C161" s="33">
        <f>TPR($C$1,$A161,dr)</f>
        <v>0.60565296026140225</v>
      </c>
      <c r="D161" s="33">
        <f t="shared" si="24"/>
        <v>0.61702308208852663</v>
      </c>
      <c r="E161" s="33">
        <f t="shared" si="25"/>
        <v>0.62512927659190243</v>
      </c>
      <c r="F161" s="33">
        <f t="shared" si="26"/>
        <v>0.63287657839817668</v>
      </c>
      <c r="G161" s="33">
        <f t="shared" si="27"/>
        <v>0.64183730975225706</v>
      </c>
      <c r="H161" s="33">
        <f t="shared" si="28"/>
        <v>0.64996930220365934</v>
      </c>
      <c r="I161" s="33">
        <f t="shared" si="29"/>
        <v>0.66431133550889909</v>
      </c>
      <c r="J161" s="33">
        <f t="shared" si="30"/>
        <v>0.67718803355751134</v>
      </c>
      <c r="K161" s="33">
        <f t="shared" si="31"/>
        <v>0.69260242141783401</v>
      </c>
      <c r="L161" s="33">
        <f t="shared" si="32"/>
        <v>0.71297246654546764</v>
      </c>
      <c r="M161" s="33">
        <f t="shared" si="33"/>
        <v>0.72973381826375339</v>
      </c>
      <c r="N161" s="33">
        <f t="shared" si="34"/>
        <v>0.74130675120673906</v>
      </c>
      <c r="O161" s="33">
        <f t="shared" si="35"/>
        <v>0.75660996911277245</v>
      </c>
    </row>
    <row r="162" spans="1:15" x14ac:dyDescent="0.25">
      <c r="A162" s="2">
        <v>160</v>
      </c>
      <c r="B162" s="33">
        <f>TPR($B$1,$A162,dr)</f>
        <v>0.59266626641347431</v>
      </c>
      <c r="C162" s="33">
        <f>TPR($C$1,$A162,dr)</f>
        <v>0.60274565176235839</v>
      </c>
      <c r="D162" s="33">
        <f t="shared" si="24"/>
        <v>0.6141356013725443</v>
      </c>
      <c r="E162" s="33">
        <f t="shared" si="25"/>
        <v>0.62247483976060736</v>
      </c>
      <c r="F162" s="33">
        <f t="shared" si="26"/>
        <v>0.6301271460937623</v>
      </c>
      <c r="G162" s="33">
        <f t="shared" si="27"/>
        <v>0.63900413421866931</v>
      </c>
      <c r="H162" s="33">
        <f t="shared" si="28"/>
        <v>0.64715690079602317</v>
      </c>
      <c r="I162" s="33">
        <f t="shared" si="29"/>
        <v>0.66176434314393573</v>
      </c>
      <c r="J162" s="33">
        <f t="shared" si="30"/>
        <v>0.67506983286605571</v>
      </c>
      <c r="K162" s="33">
        <f t="shared" si="31"/>
        <v>0.69002599659601049</v>
      </c>
      <c r="L162" s="33">
        <f t="shared" si="32"/>
        <v>0.71047621714585352</v>
      </c>
      <c r="M162" s="33">
        <f t="shared" si="33"/>
        <v>0.72744012671191571</v>
      </c>
      <c r="N162" s="33">
        <f t="shared" si="34"/>
        <v>0.73902674233286936</v>
      </c>
      <c r="O162" s="33">
        <f t="shared" si="35"/>
        <v>0.75431953082116976</v>
      </c>
    </row>
    <row r="163" spans="1:15" x14ac:dyDescent="0.25">
      <c r="A163" s="2">
        <v>161</v>
      </c>
      <c r="B163" s="33">
        <f>TPR($B$1,$A163,dr)</f>
        <v>0.59006037150559154</v>
      </c>
      <c r="C163" s="33">
        <f>TPR($C$1,$A163,dr)</f>
        <v>0.59982842241031786</v>
      </c>
      <c r="D163" s="33">
        <f t="shared" si="24"/>
        <v>0.61110253104555323</v>
      </c>
      <c r="E163" s="33">
        <f t="shared" si="25"/>
        <v>0.61956379677661677</v>
      </c>
      <c r="F163" s="33">
        <f t="shared" si="26"/>
        <v>0.62727123142760188</v>
      </c>
      <c r="G163" s="33">
        <f t="shared" si="27"/>
        <v>0.63630193100785004</v>
      </c>
      <c r="H163" s="33">
        <f t="shared" si="28"/>
        <v>0.64447489183200812</v>
      </c>
      <c r="I163" s="33">
        <f t="shared" si="29"/>
        <v>0.65908151067228826</v>
      </c>
      <c r="J163" s="33">
        <f t="shared" si="30"/>
        <v>0.67235978907342808</v>
      </c>
      <c r="K163" s="33">
        <f t="shared" si="31"/>
        <v>0.68748198006998196</v>
      </c>
      <c r="L163" s="33">
        <f t="shared" si="32"/>
        <v>0.70798214595242481</v>
      </c>
      <c r="M163" s="33">
        <f t="shared" si="33"/>
        <v>0.72495359186421604</v>
      </c>
      <c r="N163" s="33">
        <f t="shared" si="34"/>
        <v>0.73655264434681911</v>
      </c>
      <c r="O163" s="33">
        <f t="shared" si="35"/>
        <v>0.75223211532658418</v>
      </c>
    </row>
    <row r="164" spans="1:15" x14ac:dyDescent="0.25">
      <c r="A164" s="2">
        <v>162</v>
      </c>
      <c r="B164" s="33">
        <f>TPR($B$1,$A164,dr)</f>
        <v>0.58744294102685446</v>
      </c>
      <c r="C164" s="33">
        <f>TPR($C$1,$A164,dr)</f>
        <v>0.59698747817000941</v>
      </c>
      <c r="D164" s="33">
        <f t="shared" si="24"/>
        <v>0.60813741003320876</v>
      </c>
      <c r="E164" s="33">
        <f t="shared" si="25"/>
        <v>0.61668424126881161</v>
      </c>
      <c r="F164" s="33">
        <f t="shared" si="26"/>
        <v>0.62452242322272544</v>
      </c>
      <c r="G164" s="33">
        <f t="shared" si="27"/>
        <v>0.63358435725309215</v>
      </c>
      <c r="H164" s="33">
        <f t="shared" si="28"/>
        <v>0.64165457772183798</v>
      </c>
      <c r="I164" s="33">
        <f t="shared" si="29"/>
        <v>0.65635777819281649</v>
      </c>
      <c r="J164" s="33">
        <f t="shared" si="30"/>
        <v>0.66928188978321645</v>
      </c>
      <c r="K164" s="33">
        <f t="shared" si="31"/>
        <v>0.68492646872268281</v>
      </c>
      <c r="L164" s="33">
        <f t="shared" si="32"/>
        <v>0.70553851325033634</v>
      </c>
      <c r="M164" s="33">
        <f t="shared" si="33"/>
        <v>0.72255381250750428</v>
      </c>
      <c r="N164" s="33">
        <f t="shared" si="34"/>
        <v>0.73406326519102771</v>
      </c>
      <c r="O164" s="33">
        <f t="shared" si="35"/>
        <v>0.74995074238355153</v>
      </c>
    </row>
    <row r="165" spans="1:15" x14ac:dyDescent="0.25">
      <c r="A165" s="2">
        <v>163</v>
      </c>
      <c r="B165" s="33">
        <f>TPR($B$1,$A165,dr)</f>
        <v>0.58481395905646683</v>
      </c>
      <c r="C165" s="33">
        <f>TPR($C$1,$A165,dr)</f>
        <v>0.59448036647927904</v>
      </c>
      <c r="D165" s="33">
        <f t="shared" si="24"/>
        <v>0.60555368051209757</v>
      </c>
      <c r="E165" s="33">
        <f t="shared" si="25"/>
        <v>0.61389329228764644</v>
      </c>
      <c r="F165" s="33">
        <f t="shared" si="26"/>
        <v>0.6217616220265435</v>
      </c>
      <c r="G165" s="33">
        <f t="shared" si="27"/>
        <v>0.63085905633739858</v>
      </c>
      <c r="H165" s="33">
        <f t="shared" si="28"/>
        <v>0.63894950086139768</v>
      </c>
      <c r="I165" s="33">
        <f t="shared" si="29"/>
        <v>0.6537977074582626</v>
      </c>
      <c r="J165" s="33">
        <f t="shared" si="30"/>
        <v>0.66666186798890559</v>
      </c>
      <c r="K165" s="33">
        <f t="shared" si="31"/>
        <v>0.68235944682740379</v>
      </c>
      <c r="L165" s="33">
        <f t="shared" si="32"/>
        <v>0.703082857380948</v>
      </c>
      <c r="M165" s="33">
        <f t="shared" si="33"/>
        <v>0.7203121191523868</v>
      </c>
      <c r="N165" s="33">
        <f t="shared" si="34"/>
        <v>0.73202719178033016</v>
      </c>
      <c r="O165" s="33">
        <f t="shared" si="35"/>
        <v>0.74778274962563906</v>
      </c>
    </row>
    <row r="166" spans="1:15" x14ac:dyDescent="0.25">
      <c r="A166" s="2">
        <v>164</v>
      </c>
      <c r="B166" s="33">
        <f>TPR($B$1,$A166,dr)</f>
        <v>0.58202254180799406</v>
      </c>
      <c r="C166" s="33">
        <f>TPR($C$1,$A166,dr)</f>
        <v>0.59181276446691433</v>
      </c>
      <c r="D166" s="33">
        <f t="shared" si="24"/>
        <v>0.60294245451569639</v>
      </c>
      <c r="E166" s="33">
        <f t="shared" si="25"/>
        <v>0.61119307033866521</v>
      </c>
      <c r="F166" s="33">
        <f t="shared" si="26"/>
        <v>0.61894400906589475</v>
      </c>
      <c r="G166" s="33">
        <f t="shared" si="27"/>
        <v>0.62783759444007359</v>
      </c>
      <c r="H166" s="33">
        <f t="shared" si="28"/>
        <v>0.63619607606067874</v>
      </c>
      <c r="I166" s="33">
        <f t="shared" si="29"/>
        <v>0.6513537029558697</v>
      </c>
      <c r="J166" s="33">
        <f t="shared" si="30"/>
        <v>0.66434594646512535</v>
      </c>
      <c r="K166" s="33">
        <f t="shared" si="31"/>
        <v>0.67962402605175964</v>
      </c>
      <c r="L166" s="33">
        <f t="shared" si="32"/>
        <v>0.70069419131656319</v>
      </c>
      <c r="M166" s="33">
        <f t="shared" si="33"/>
        <v>0.71801635012395659</v>
      </c>
      <c r="N166" s="33">
        <f t="shared" si="34"/>
        <v>0.72984277736841507</v>
      </c>
      <c r="O166" s="33">
        <f t="shared" si="35"/>
        <v>0.74570861989446446</v>
      </c>
    </row>
    <row r="167" spans="1:15" x14ac:dyDescent="0.25">
      <c r="A167" s="2">
        <v>165</v>
      </c>
      <c r="B167" s="33">
        <f>TPR($B$1,$A167,dr)</f>
        <v>0.57921902439582873</v>
      </c>
      <c r="C167" s="33">
        <f>TPR($C$1,$A167,dr)</f>
        <v>0.58913286110638929</v>
      </c>
      <c r="D167" s="33">
        <f t="shared" si="24"/>
        <v>0.60025669150534711</v>
      </c>
      <c r="E167" s="33">
        <f t="shared" si="25"/>
        <v>0.60842125342346043</v>
      </c>
      <c r="F167" s="33">
        <f t="shared" si="26"/>
        <v>0.61624010884370006</v>
      </c>
      <c r="G167" s="33">
        <f t="shared" si="27"/>
        <v>0.62480022619731579</v>
      </c>
      <c r="H167" s="33">
        <f t="shared" si="28"/>
        <v>0.63342724744624146</v>
      </c>
      <c r="I167" s="33">
        <f t="shared" si="29"/>
        <v>0.64856924693843077</v>
      </c>
      <c r="J167" s="33">
        <f t="shared" si="30"/>
        <v>0.66170631769466548</v>
      </c>
      <c r="K167" s="33">
        <f t="shared" si="31"/>
        <v>0.67711450807733475</v>
      </c>
      <c r="L167" s="33">
        <f t="shared" si="32"/>
        <v>0.6983132458257737</v>
      </c>
      <c r="M167" s="33">
        <f t="shared" si="33"/>
        <v>0.71552761697483114</v>
      </c>
      <c r="N167" s="33">
        <f t="shared" si="34"/>
        <v>0.72739050840102337</v>
      </c>
      <c r="O167" s="33">
        <f t="shared" si="35"/>
        <v>0.74348272530042303</v>
      </c>
    </row>
    <row r="168" spans="1:15" x14ac:dyDescent="0.25">
      <c r="A168" s="2">
        <v>166</v>
      </c>
      <c r="B168" s="33">
        <f>TPR($B$1,$A168,dr)</f>
        <v>0.57640339023580867</v>
      </c>
      <c r="C168" s="33">
        <f>TPR($C$1,$A168,dr)</f>
        <v>0.58644063880063912</v>
      </c>
      <c r="D168" s="33">
        <f t="shared" si="24"/>
        <v>0.59749735601816112</v>
      </c>
      <c r="E168" s="33">
        <f t="shared" si="25"/>
        <v>0.60557428213017406</v>
      </c>
      <c r="F168" s="33">
        <f t="shared" si="26"/>
        <v>0.61365246633357662</v>
      </c>
      <c r="G168" s="33">
        <f t="shared" si="27"/>
        <v>0.62174742254306858</v>
      </c>
      <c r="H168" s="33">
        <f t="shared" si="28"/>
        <v>0.6307669171815653</v>
      </c>
      <c r="I168" s="33">
        <f t="shared" si="29"/>
        <v>0.64568915623847634</v>
      </c>
      <c r="J168" s="33">
        <f t="shared" si="30"/>
        <v>0.65883272116742642</v>
      </c>
      <c r="K168" s="33">
        <f t="shared" si="31"/>
        <v>0.67461076787238528</v>
      </c>
      <c r="L168" s="33">
        <f t="shared" si="32"/>
        <v>0.69570220577019826</v>
      </c>
      <c r="M168" s="33">
        <f t="shared" si="33"/>
        <v>0.71292746291886766</v>
      </c>
      <c r="N168" s="33">
        <f t="shared" si="34"/>
        <v>0.72498809104471551</v>
      </c>
      <c r="O168" s="33">
        <f t="shared" si="35"/>
        <v>0.7413618041029868</v>
      </c>
    </row>
    <row r="169" spans="1:15" x14ac:dyDescent="0.25">
      <c r="A169" s="2">
        <v>167</v>
      </c>
      <c r="B169" s="33">
        <f>TPR($B$1,$A169,dr)</f>
        <v>0.57372726651845529</v>
      </c>
      <c r="C169" s="33">
        <f>TPR($C$1,$A169,dr)</f>
        <v>0.58380025546013703</v>
      </c>
      <c r="D169" s="33">
        <f t="shared" si="24"/>
        <v>0.59491853243722959</v>
      </c>
      <c r="E169" s="33">
        <f t="shared" si="25"/>
        <v>0.60298507941539237</v>
      </c>
      <c r="F169" s="33">
        <f t="shared" si="26"/>
        <v>0.61097475203702811</v>
      </c>
      <c r="G169" s="33">
        <f t="shared" si="27"/>
        <v>0.61896784313985442</v>
      </c>
      <c r="H169" s="33">
        <f t="shared" si="28"/>
        <v>0.62813161454470023</v>
      </c>
      <c r="I169" s="33">
        <f t="shared" si="29"/>
        <v>0.64302256088405718</v>
      </c>
      <c r="J169" s="33">
        <f t="shared" si="30"/>
        <v>0.65631000100629044</v>
      </c>
      <c r="K169" s="33">
        <f t="shared" si="31"/>
        <v>0.67205653359943962</v>
      </c>
      <c r="L169" s="33">
        <f t="shared" si="32"/>
        <v>0.69293937628526514</v>
      </c>
      <c r="M169" s="33">
        <f t="shared" si="33"/>
        <v>0.71029384834037923</v>
      </c>
      <c r="N169" s="33">
        <f t="shared" si="34"/>
        <v>0.72281161885578371</v>
      </c>
      <c r="O169" s="33">
        <f t="shared" si="35"/>
        <v>0.73929192232841012</v>
      </c>
    </row>
    <row r="170" spans="1:15" x14ac:dyDescent="0.25">
      <c r="A170" s="2">
        <v>168</v>
      </c>
      <c r="B170" s="33">
        <f>TPR($B$1,$A170,dr)</f>
        <v>0.57103951104210826</v>
      </c>
      <c r="C170" s="33">
        <f>TPR($C$1,$A170,dr)</f>
        <v>0.58123351458569428</v>
      </c>
      <c r="D170" s="33">
        <f t="shared" si="24"/>
        <v>0.59253958612831437</v>
      </c>
      <c r="E170" s="33">
        <f t="shared" si="25"/>
        <v>0.60059704560495009</v>
      </c>
      <c r="F170" s="33">
        <f t="shared" si="26"/>
        <v>0.6083466190380602</v>
      </c>
      <c r="G170" s="33">
        <f t="shared" si="27"/>
        <v>0.61661004155994081</v>
      </c>
      <c r="H170" s="33">
        <f t="shared" si="28"/>
        <v>0.6254257181915599</v>
      </c>
      <c r="I170" s="33">
        <f t="shared" si="29"/>
        <v>0.64048679878710013</v>
      </c>
      <c r="J170" s="33">
        <f t="shared" si="30"/>
        <v>0.65387970751059821</v>
      </c>
      <c r="K170" s="33">
        <f t="shared" si="31"/>
        <v>0.669430818246179</v>
      </c>
      <c r="L170" s="33">
        <f t="shared" si="32"/>
        <v>0.69042632072213062</v>
      </c>
      <c r="M170" s="33">
        <f t="shared" si="33"/>
        <v>0.70790870926578831</v>
      </c>
      <c r="N170" s="33">
        <f t="shared" si="34"/>
        <v>0.7204637403848696</v>
      </c>
      <c r="O170" s="33">
        <f t="shared" si="35"/>
        <v>0.73705185167909626</v>
      </c>
    </row>
    <row r="171" spans="1:15" x14ac:dyDescent="0.25">
      <c r="A171" s="2">
        <v>169</v>
      </c>
      <c r="B171" s="33">
        <f>TPR($B$1,$A171,dr)</f>
        <v>0.56818794573298148</v>
      </c>
      <c r="C171" s="33">
        <f>TPR($C$1,$A171,dr)</f>
        <v>0.57850492471527037</v>
      </c>
      <c r="D171" s="33">
        <f t="shared" si="24"/>
        <v>0.58987545052009449</v>
      </c>
      <c r="E171" s="33">
        <f t="shared" si="25"/>
        <v>0.59780071606073382</v>
      </c>
      <c r="F171" s="33">
        <f t="shared" si="26"/>
        <v>0.60545099465316088</v>
      </c>
      <c r="G171" s="33">
        <f t="shared" si="27"/>
        <v>0.61423524970358456</v>
      </c>
      <c r="H171" s="33">
        <f t="shared" si="28"/>
        <v>0.62295718719427651</v>
      </c>
      <c r="I171" s="33">
        <f t="shared" si="29"/>
        <v>0.63789891986211433</v>
      </c>
      <c r="J171" s="33">
        <f t="shared" si="30"/>
        <v>0.65133597648700048</v>
      </c>
      <c r="K171" s="33">
        <f t="shared" si="31"/>
        <v>0.66697499309890673</v>
      </c>
      <c r="L171" s="33">
        <f t="shared" si="32"/>
        <v>0.68818398994609098</v>
      </c>
      <c r="M171" s="33">
        <f t="shared" si="33"/>
        <v>0.70571664038341619</v>
      </c>
      <c r="N171" s="33">
        <f t="shared" si="34"/>
        <v>0.71812354941856793</v>
      </c>
      <c r="O171" s="33">
        <f t="shared" si="35"/>
        <v>0.73494037712688498</v>
      </c>
    </row>
    <row r="172" spans="1:15" x14ac:dyDescent="0.25">
      <c r="A172" s="2">
        <v>170</v>
      </c>
      <c r="B172" s="33">
        <f>TPR($B$1,$A172,dr)</f>
        <v>0.56547661945542393</v>
      </c>
      <c r="C172" s="33">
        <f>TPR($C$1,$A172,dr)</f>
        <v>0.57582944090615662</v>
      </c>
      <c r="D172" s="33">
        <f t="shared" si="24"/>
        <v>0.58720064233230618</v>
      </c>
      <c r="E172" s="33">
        <f t="shared" si="25"/>
        <v>0.59511555290711671</v>
      </c>
      <c r="F172" s="33">
        <f t="shared" si="26"/>
        <v>0.60292068470929527</v>
      </c>
      <c r="G172" s="33">
        <f t="shared" si="27"/>
        <v>0.61185140029642793</v>
      </c>
      <c r="H172" s="33">
        <f t="shared" si="28"/>
        <v>0.62035806020994655</v>
      </c>
      <c r="I172" s="33">
        <f t="shared" si="29"/>
        <v>0.6353649330590021</v>
      </c>
      <c r="J172" s="33">
        <f t="shared" si="30"/>
        <v>0.64861941598823736</v>
      </c>
      <c r="K172" s="33">
        <f t="shared" si="31"/>
        <v>0.66430030238635518</v>
      </c>
      <c r="L172" s="33">
        <f t="shared" si="32"/>
        <v>0.6859304712130847</v>
      </c>
      <c r="M172" s="33">
        <f t="shared" si="33"/>
        <v>0.70355496668815598</v>
      </c>
      <c r="N172" s="33">
        <f t="shared" si="34"/>
        <v>0.71589409898086631</v>
      </c>
      <c r="O172" s="33">
        <f t="shared" si="35"/>
        <v>0.73270036917248071</v>
      </c>
    </row>
    <row r="173" spans="1:15" x14ac:dyDescent="0.25">
      <c r="A173" s="2">
        <v>171</v>
      </c>
      <c r="B173" s="33">
        <f>TPR($B$1,$A173,dr)</f>
        <v>0.56260093201957839</v>
      </c>
      <c r="C173" s="33">
        <f>TPR($C$1,$A173,dr)</f>
        <v>0.57307649748551415</v>
      </c>
      <c r="D173" s="33">
        <f t="shared" si="24"/>
        <v>0.58451514807774574</v>
      </c>
      <c r="E173" s="33">
        <f t="shared" si="25"/>
        <v>0.5924575801382802</v>
      </c>
      <c r="F173" s="33">
        <f t="shared" si="26"/>
        <v>0.60047017483377252</v>
      </c>
      <c r="G173" s="33">
        <f t="shared" si="27"/>
        <v>0.60917358799813848</v>
      </c>
      <c r="H173" s="33">
        <f t="shared" si="28"/>
        <v>0.61782287382630452</v>
      </c>
      <c r="I173" s="33">
        <f t="shared" si="29"/>
        <v>0.63265013052818342</v>
      </c>
      <c r="J173" s="33">
        <f t="shared" si="30"/>
        <v>0.6460535423579904</v>
      </c>
      <c r="K173" s="33">
        <f t="shared" si="31"/>
        <v>0.6618189680554446</v>
      </c>
      <c r="L173" s="33">
        <f t="shared" si="32"/>
        <v>0.683665748326722</v>
      </c>
      <c r="M173" s="33">
        <f t="shared" si="33"/>
        <v>0.70138410816061381</v>
      </c>
      <c r="N173" s="33">
        <f t="shared" si="34"/>
        <v>0.71365411909240151</v>
      </c>
      <c r="O173" s="33">
        <f t="shared" si="35"/>
        <v>0.73050901820099989</v>
      </c>
    </row>
    <row r="174" spans="1:15" x14ac:dyDescent="0.25">
      <c r="A174" s="2">
        <v>172</v>
      </c>
      <c r="B174" s="33">
        <f>TPR($B$1,$A174,dr)</f>
        <v>0.55971302899427344</v>
      </c>
      <c r="C174" s="33">
        <f>TPR($C$1,$A174,dr)</f>
        <v>0.57014237508169963</v>
      </c>
      <c r="D174" s="33">
        <f t="shared" si="24"/>
        <v>0.58170539551806144</v>
      </c>
      <c r="E174" s="33">
        <f t="shared" si="25"/>
        <v>0.58985517247388197</v>
      </c>
      <c r="F174" s="33">
        <f t="shared" si="26"/>
        <v>0.5978646108846396</v>
      </c>
      <c r="G174" s="33">
        <f t="shared" si="27"/>
        <v>0.60634116312336506</v>
      </c>
      <c r="H174" s="33">
        <f t="shared" si="28"/>
        <v>0.61512949454220622</v>
      </c>
      <c r="I174" s="33">
        <f t="shared" si="29"/>
        <v>0.62973952175549086</v>
      </c>
      <c r="J174" s="33">
        <f t="shared" si="30"/>
        <v>0.64324047368435666</v>
      </c>
      <c r="K174" s="33">
        <f t="shared" si="31"/>
        <v>0.6594303425736272</v>
      </c>
      <c r="L174" s="33">
        <f t="shared" si="32"/>
        <v>0.68121369886451777</v>
      </c>
      <c r="M174" s="33">
        <f t="shared" si="33"/>
        <v>0.69885394740091999</v>
      </c>
      <c r="N174" s="33">
        <f t="shared" si="34"/>
        <v>0.71127903607888499</v>
      </c>
      <c r="O174" s="33">
        <f t="shared" si="35"/>
        <v>0.72830724158425642</v>
      </c>
    </row>
    <row r="175" spans="1:15" x14ac:dyDescent="0.25">
      <c r="A175" s="2">
        <v>173</v>
      </c>
      <c r="B175" s="33">
        <f>TPR($B$1,$A175,dr)</f>
        <v>0.55711929692148576</v>
      </c>
      <c r="C175" s="33">
        <f>TPR($C$1,$A175,dr)</f>
        <v>0.56749857932704972</v>
      </c>
      <c r="D175" s="33">
        <f t="shared" si="24"/>
        <v>0.57911960251869488</v>
      </c>
      <c r="E175" s="33">
        <f t="shared" si="25"/>
        <v>0.58727297476547335</v>
      </c>
      <c r="F175" s="33">
        <f t="shared" si="26"/>
        <v>0.59500692514720244</v>
      </c>
      <c r="G175" s="33">
        <f t="shared" si="27"/>
        <v>0.60363176288429254</v>
      </c>
      <c r="H175" s="33">
        <f t="shared" si="28"/>
        <v>0.61244900207989839</v>
      </c>
      <c r="I175" s="33">
        <f t="shared" si="29"/>
        <v>0.62710608660240108</v>
      </c>
      <c r="J175" s="33">
        <f t="shared" si="30"/>
        <v>0.64066632657634703</v>
      </c>
      <c r="K175" s="33">
        <f t="shared" si="31"/>
        <v>0.65703100428087291</v>
      </c>
      <c r="L175" s="33">
        <f t="shared" si="32"/>
        <v>0.67863553470106142</v>
      </c>
      <c r="M175" s="33">
        <f t="shared" si="33"/>
        <v>0.69613902860175481</v>
      </c>
      <c r="N175" s="33">
        <f t="shared" si="34"/>
        <v>0.70900081542313154</v>
      </c>
      <c r="O175" s="33">
        <f t="shared" si="35"/>
        <v>0.72601182920104645</v>
      </c>
    </row>
    <row r="176" spans="1:15" x14ac:dyDescent="0.25">
      <c r="A176" s="2">
        <v>174</v>
      </c>
      <c r="B176" s="33">
        <f>TPR($B$1,$A176,dr)</f>
        <v>0.55436089574382108</v>
      </c>
      <c r="C176" s="33">
        <f>TPR($C$1,$A176,dr)</f>
        <v>0.56502885090656363</v>
      </c>
      <c r="D176" s="33">
        <f t="shared" si="24"/>
        <v>0.57672707691476932</v>
      </c>
      <c r="E176" s="33">
        <f t="shared" si="25"/>
        <v>0.58461124393718278</v>
      </c>
      <c r="F176" s="33">
        <f t="shared" si="26"/>
        <v>0.59229951204996867</v>
      </c>
      <c r="G176" s="33">
        <f t="shared" si="27"/>
        <v>0.60119687636399344</v>
      </c>
      <c r="H176" s="33">
        <f t="shared" si="28"/>
        <v>0.60981114090872268</v>
      </c>
      <c r="I176" s="33">
        <f t="shared" si="29"/>
        <v>0.62460625092949718</v>
      </c>
      <c r="J176" s="33">
        <f t="shared" si="30"/>
        <v>0.63819193565527677</v>
      </c>
      <c r="K176" s="33">
        <f t="shared" si="31"/>
        <v>0.65447763393126757</v>
      </c>
      <c r="L176" s="33">
        <f t="shared" si="32"/>
        <v>0.67608087772732417</v>
      </c>
      <c r="M176" s="33">
        <f t="shared" si="33"/>
        <v>0.69361895354661407</v>
      </c>
      <c r="N176" s="33">
        <f t="shared" si="34"/>
        <v>0.706728920781442</v>
      </c>
      <c r="O176" s="33">
        <f t="shared" si="35"/>
        <v>0.72390362687556908</v>
      </c>
    </row>
    <row r="177" spans="1:15" x14ac:dyDescent="0.25">
      <c r="A177" s="2">
        <v>175</v>
      </c>
      <c r="B177" s="33">
        <f>TPR($B$1,$A177,dr)</f>
        <v>0.55159075091935017</v>
      </c>
      <c r="C177" s="33">
        <f>TPR($C$1,$A177,dr)</f>
        <v>0.56246259543839516</v>
      </c>
      <c r="D177" s="33">
        <f t="shared" si="24"/>
        <v>0.57429794723886229</v>
      </c>
      <c r="E177" s="33">
        <f t="shared" si="25"/>
        <v>0.58204993312563325</v>
      </c>
      <c r="F177" s="33">
        <f t="shared" si="26"/>
        <v>0.58957795801071733</v>
      </c>
      <c r="G177" s="33">
        <f t="shared" si="27"/>
        <v>0.59874835829716722</v>
      </c>
      <c r="H177" s="33">
        <f t="shared" si="28"/>
        <v>0.60704714171738638</v>
      </c>
      <c r="I177" s="33">
        <f t="shared" si="29"/>
        <v>0.62224073131420876</v>
      </c>
      <c r="J177" s="33">
        <f t="shared" si="30"/>
        <v>0.63582161707355689</v>
      </c>
      <c r="K177" s="33">
        <f t="shared" si="31"/>
        <v>0.65180615076711257</v>
      </c>
      <c r="L177" s="33">
        <f t="shared" si="32"/>
        <v>0.67374675863023437</v>
      </c>
      <c r="M177" s="33">
        <f t="shared" si="33"/>
        <v>0.69151025087614038</v>
      </c>
      <c r="N177" s="33">
        <f t="shared" si="34"/>
        <v>0.70447669131655122</v>
      </c>
      <c r="O177" s="33">
        <f t="shared" si="35"/>
        <v>0.72189509934971186</v>
      </c>
    </row>
    <row r="178" spans="1:15" x14ac:dyDescent="0.25">
      <c r="A178" s="2">
        <v>176</v>
      </c>
      <c r="B178" s="33">
        <f>TPR($B$1,$A178,dr)</f>
        <v>0.54896282996968948</v>
      </c>
      <c r="C178" s="33">
        <f>TPR($C$1,$A178,dr)</f>
        <v>0.55986850612605266</v>
      </c>
      <c r="D178" s="33">
        <f t="shared" si="24"/>
        <v>0.57170883010482976</v>
      </c>
      <c r="E178" s="33">
        <f t="shared" si="25"/>
        <v>0.57944322099569734</v>
      </c>
      <c r="F178" s="33">
        <f t="shared" si="26"/>
        <v>0.58709267656365738</v>
      </c>
      <c r="G178" s="33">
        <f t="shared" si="27"/>
        <v>0.59616015226592034</v>
      </c>
      <c r="H178" s="33">
        <f t="shared" si="28"/>
        <v>0.60424756526020096</v>
      </c>
      <c r="I178" s="33">
        <f t="shared" si="29"/>
        <v>0.61971922879092534</v>
      </c>
      <c r="J178" s="33">
        <f t="shared" si="30"/>
        <v>0.63331463067199856</v>
      </c>
      <c r="K178" s="33">
        <f t="shared" si="31"/>
        <v>0.64908583398996034</v>
      </c>
      <c r="L178" s="33">
        <f t="shared" si="32"/>
        <v>0.67125651832641997</v>
      </c>
      <c r="M178" s="33">
        <f t="shared" si="33"/>
        <v>0.68925085017984467</v>
      </c>
      <c r="N178" s="33">
        <f t="shared" si="34"/>
        <v>0.70204000498707186</v>
      </c>
      <c r="O178" s="33">
        <f t="shared" si="35"/>
        <v>0.71950935487281509</v>
      </c>
    </row>
    <row r="179" spans="1:15" x14ac:dyDescent="0.25">
      <c r="A179" s="2">
        <v>177</v>
      </c>
      <c r="B179" s="33">
        <f>TPR($B$1,$A179,dr)</f>
        <v>0.54632365566901508</v>
      </c>
      <c r="C179" s="33">
        <f>TPR($C$1,$A179,dr)</f>
        <v>0.55717986823772225</v>
      </c>
      <c r="D179" s="33">
        <f t="shared" si="24"/>
        <v>0.56895895202598712</v>
      </c>
      <c r="E179" s="33">
        <f t="shared" si="25"/>
        <v>0.57671201747402923</v>
      </c>
      <c r="F179" s="33">
        <f t="shared" si="26"/>
        <v>0.58461237355240703</v>
      </c>
      <c r="G179" s="33">
        <f t="shared" si="27"/>
        <v>0.59370184749505883</v>
      </c>
      <c r="H179" s="33">
        <f t="shared" si="28"/>
        <v>0.60181981637214133</v>
      </c>
      <c r="I179" s="33">
        <f t="shared" si="29"/>
        <v>0.61704099602686868</v>
      </c>
      <c r="J179" s="33">
        <f t="shared" si="30"/>
        <v>0.6307109087833227</v>
      </c>
      <c r="K179" s="33">
        <f t="shared" si="31"/>
        <v>0.64667865159078797</v>
      </c>
      <c r="L179" s="33">
        <f t="shared" si="32"/>
        <v>0.66875275111179111</v>
      </c>
      <c r="M179" s="33">
        <f t="shared" si="33"/>
        <v>0.68705407968289245</v>
      </c>
      <c r="N179" s="33">
        <f t="shared" si="34"/>
        <v>0.69983571260481658</v>
      </c>
      <c r="O179" s="33">
        <f t="shared" si="35"/>
        <v>0.71714036810971182</v>
      </c>
    </row>
    <row r="180" spans="1:15" x14ac:dyDescent="0.25">
      <c r="A180" s="2">
        <v>178</v>
      </c>
      <c r="B180" s="33">
        <f>TPR($B$1,$A180,dr)</f>
        <v>0.54382771856081547</v>
      </c>
      <c r="C180" s="33">
        <f>TPR($C$1,$A180,dr)</f>
        <v>0.55454952666176049</v>
      </c>
      <c r="D180" s="33">
        <f t="shared" si="24"/>
        <v>0.5663175792173657</v>
      </c>
      <c r="E180" s="33">
        <f t="shared" si="25"/>
        <v>0.57419296032808331</v>
      </c>
      <c r="F180" s="33">
        <f t="shared" si="26"/>
        <v>0.58210748336023332</v>
      </c>
      <c r="G180" s="33">
        <f t="shared" si="27"/>
        <v>0.59109386117650642</v>
      </c>
      <c r="H180" s="33">
        <f t="shared" si="28"/>
        <v>0.59946698314085989</v>
      </c>
      <c r="I180" s="33">
        <f t="shared" si="29"/>
        <v>0.61438697559811994</v>
      </c>
      <c r="J180" s="33">
        <f t="shared" si="30"/>
        <v>0.62821146373307735</v>
      </c>
      <c r="K180" s="33">
        <f t="shared" si="31"/>
        <v>0.64426076425216372</v>
      </c>
      <c r="L180" s="33">
        <f t="shared" si="32"/>
        <v>0.66643895850000545</v>
      </c>
      <c r="M180" s="33">
        <f t="shared" si="33"/>
        <v>0.68473883744214181</v>
      </c>
      <c r="N180" s="33">
        <f t="shared" si="34"/>
        <v>0.69763818113544795</v>
      </c>
      <c r="O180" s="33">
        <f t="shared" si="35"/>
        <v>0.71490023067418185</v>
      </c>
    </row>
    <row r="181" spans="1:15" x14ac:dyDescent="0.25">
      <c r="A181" s="2">
        <v>179</v>
      </c>
      <c r="B181" s="33">
        <f>TPR($B$1,$A181,dr)</f>
        <v>0.54132102060861631</v>
      </c>
      <c r="C181" s="33">
        <f>TPR($C$1,$A181,dr)</f>
        <v>0.55215851528398008</v>
      </c>
      <c r="D181" s="33">
        <f t="shared" si="24"/>
        <v>0.56393917184743203</v>
      </c>
      <c r="E181" s="33">
        <f t="shared" si="25"/>
        <v>0.57166305223036118</v>
      </c>
      <c r="F181" s="33">
        <f t="shared" si="26"/>
        <v>0.57955338282889723</v>
      </c>
      <c r="G181" s="33">
        <f t="shared" si="27"/>
        <v>0.5880606967898151</v>
      </c>
      <c r="H181" s="33">
        <f t="shared" si="28"/>
        <v>0.59689016484558732</v>
      </c>
      <c r="I181" s="33">
        <f t="shared" si="29"/>
        <v>0.61186676729372858</v>
      </c>
      <c r="J181" s="33">
        <f t="shared" si="30"/>
        <v>0.62583358380649046</v>
      </c>
      <c r="K181" s="33">
        <f t="shared" si="31"/>
        <v>0.64190078522429872</v>
      </c>
      <c r="L181" s="33">
        <f t="shared" si="32"/>
        <v>0.66434673506363129</v>
      </c>
      <c r="M181" s="33">
        <f t="shared" si="33"/>
        <v>0.6824864032746345</v>
      </c>
      <c r="N181" s="33">
        <f t="shared" si="34"/>
        <v>0.69531523057578037</v>
      </c>
      <c r="O181" s="33">
        <f t="shared" si="35"/>
        <v>0.71267776516229486</v>
      </c>
    </row>
    <row r="182" spans="1:15" x14ac:dyDescent="0.25">
      <c r="A182" s="2">
        <v>180</v>
      </c>
      <c r="B182" s="33">
        <f>TPR($B$1,$A182,dr)</f>
        <v>0.53895857626226684</v>
      </c>
      <c r="C182" s="33">
        <f>TPR($C$1,$A182,dr)</f>
        <v>0.54957779662093964</v>
      </c>
      <c r="D182" s="33">
        <f t="shared" si="24"/>
        <v>0.56127528493640322</v>
      </c>
      <c r="E182" s="33">
        <f t="shared" si="25"/>
        <v>0.56908668903602244</v>
      </c>
      <c r="F182" s="33">
        <f t="shared" si="26"/>
        <v>0.57688247068201937</v>
      </c>
      <c r="G182" s="33">
        <f t="shared" si="27"/>
        <v>0.58528689867662631</v>
      </c>
      <c r="H182" s="33">
        <f t="shared" si="28"/>
        <v>0.59424554518521699</v>
      </c>
      <c r="I182" s="33">
        <f t="shared" si="29"/>
        <v>0.60929984143504001</v>
      </c>
      <c r="J182" s="33">
        <f t="shared" si="30"/>
        <v>0.62332553203459551</v>
      </c>
      <c r="K182" s="33">
        <f t="shared" si="31"/>
        <v>0.63950020554067333</v>
      </c>
      <c r="L182" s="33">
        <f t="shared" si="32"/>
        <v>0.66178263437856188</v>
      </c>
      <c r="M182" s="33">
        <f t="shared" si="33"/>
        <v>0.68003942286111763</v>
      </c>
      <c r="N182" s="33">
        <f t="shared" si="34"/>
        <v>0.69313715081893901</v>
      </c>
      <c r="O182" s="33">
        <f t="shared" si="35"/>
        <v>0.71067386989379178</v>
      </c>
    </row>
    <row r="183" spans="1:15" x14ac:dyDescent="0.25">
      <c r="A183" s="2">
        <v>181</v>
      </c>
      <c r="B183" s="33">
        <f>TPR($B$1,$A183,dr)</f>
        <v>0.53674115678724543</v>
      </c>
      <c r="C183" s="33">
        <f>TPR($C$1,$A183,dr)</f>
        <v>0.54681040485007026</v>
      </c>
      <c r="D183" s="33">
        <f t="shared" si="24"/>
        <v>0.55832059643656684</v>
      </c>
      <c r="E183" s="33">
        <f t="shared" si="25"/>
        <v>0.56646529374890231</v>
      </c>
      <c r="F183" s="33">
        <f t="shared" si="26"/>
        <v>0.5741004012643276</v>
      </c>
      <c r="G183" s="33">
        <f t="shared" si="27"/>
        <v>0.58290458021507552</v>
      </c>
      <c r="H183" s="33">
        <f t="shared" si="28"/>
        <v>0.59168807839013116</v>
      </c>
      <c r="I183" s="33">
        <f t="shared" si="29"/>
        <v>0.60680002662504284</v>
      </c>
      <c r="J183" s="33">
        <f t="shared" si="30"/>
        <v>0.62067118839691793</v>
      </c>
      <c r="K183" s="33">
        <f t="shared" si="31"/>
        <v>0.63709112955687841</v>
      </c>
      <c r="L183" s="33">
        <f t="shared" si="32"/>
        <v>0.65931901084214417</v>
      </c>
      <c r="M183" s="33">
        <f t="shared" si="33"/>
        <v>0.67780017469944231</v>
      </c>
      <c r="N183" s="33">
        <f t="shared" si="34"/>
        <v>0.69093613102284446</v>
      </c>
      <c r="O183" s="33">
        <f t="shared" si="35"/>
        <v>0.7085727479102738</v>
      </c>
    </row>
    <row r="184" spans="1:15" x14ac:dyDescent="0.25">
      <c r="A184" s="2">
        <v>182</v>
      </c>
      <c r="B184" s="33">
        <f>TPR($B$1,$A184,dr)</f>
        <v>0.53435842843297521</v>
      </c>
      <c r="C184" s="33">
        <f>TPR($C$1,$A184,dr)</f>
        <v>0.54446019268327062</v>
      </c>
      <c r="D184" s="33">
        <f t="shared" si="24"/>
        <v>0.55596930202113981</v>
      </c>
      <c r="E184" s="33">
        <f t="shared" si="25"/>
        <v>0.56402005548023981</v>
      </c>
      <c r="F184" s="33">
        <f t="shared" si="26"/>
        <v>0.57157875722237284</v>
      </c>
      <c r="G184" s="33">
        <f t="shared" si="27"/>
        <v>0.58053059120809625</v>
      </c>
      <c r="H184" s="33">
        <f t="shared" si="28"/>
        <v>0.5890094661646248</v>
      </c>
      <c r="I184" s="33">
        <f t="shared" si="29"/>
        <v>0.6041783701786374</v>
      </c>
      <c r="J184" s="33">
        <f t="shared" si="30"/>
        <v>0.61799186248967886</v>
      </c>
      <c r="K184" s="33">
        <f t="shared" si="31"/>
        <v>0.63462859255400139</v>
      </c>
      <c r="L184" s="33">
        <f t="shared" si="32"/>
        <v>0.65707643473235577</v>
      </c>
      <c r="M184" s="33">
        <f t="shared" si="33"/>
        <v>0.6756617642099102</v>
      </c>
      <c r="N184" s="33">
        <f t="shared" si="34"/>
        <v>0.68873586055028158</v>
      </c>
      <c r="O184" s="33">
        <f t="shared" si="35"/>
        <v>0.70638411788219391</v>
      </c>
    </row>
    <row r="185" spans="1:15" x14ac:dyDescent="0.25">
      <c r="A185" s="2">
        <v>183</v>
      </c>
      <c r="B185" s="33">
        <f>TPR($B$1,$A185,dr)</f>
        <v>0.53196540631267197</v>
      </c>
      <c r="C185" s="33">
        <f>TPR($C$1,$A185,dr)</f>
        <v>0.54226443525698487</v>
      </c>
      <c r="D185" s="33">
        <f t="shared" si="24"/>
        <v>0.55373884279595897</v>
      </c>
      <c r="E185" s="33">
        <f t="shared" si="25"/>
        <v>0.56151707238032933</v>
      </c>
      <c r="F185" s="33">
        <f t="shared" si="26"/>
        <v>0.56931200422130757</v>
      </c>
      <c r="G185" s="33">
        <f t="shared" si="27"/>
        <v>0.57803304010010403</v>
      </c>
      <c r="H185" s="33">
        <f t="shared" si="28"/>
        <v>0.58628941985043515</v>
      </c>
      <c r="I185" s="33">
        <f t="shared" si="29"/>
        <v>0.60149942105275611</v>
      </c>
      <c r="J185" s="33">
        <f t="shared" si="30"/>
        <v>0.615561085985465</v>
      </c>
      <c r="K185" s="33">
        <f t="shared" si="31"/>
        <v>0.63210767841011317</v>
      </c>
      <c r="L185" s="33">
        <f t="shared" si="32"/>
        <v>0.65494690431869873</v>
      </c>
      <c r="M185" s="33">
        <f t="shared" si="33"/>
        <v>0.67340271277127084</v>
      </c>
      <c r="N185" s="33">
        <f t="shared" si="34"/>
        <v>0.68652417080261308</v>
      </c>
      <c r="O185" s="33">
        <f t="shared" si="35"/>
        <v>0.70429709716140931</v>
      </c>
    </row>
    <row r="186" spans="1:15" x14ac:dyDescent="0.25">
      <c r="A186" s="2">
        <v>184</v>
      </c>
      <c r="B186" s="33">
        <f>TPR($B$1,$A186,dr)</f>
        <v>0.52940599831227297</v>
      </c>
      <c r="C186" s="33">
        <f>TPR($C$1,$A186,dr)</f>
        <v>0.53982178709706607</v>
      </c>
      <c r="D186" s="33">
        <f t="shared" si="24"/>
        <v>0.5513127847968412</v>
      </c>
      <c r="E186" s="33">
        <f t="shared" si="25"/>
        <v>0.55896757424163557</v>
      </c>
      <c r="F186" s="33">
        <f t="shared" si="26"/>
        <v>0.56688808385101586</v>
      </c>
      <c r="G186" s="33">
        <f t="shared" si="27"/>
        <v>0.5753787782884825</v>
      </c>
      <c r="H186" s="33">
        <f t="shared" si="28"/>
        <v>0.58374975439302945</v>
      </c>
      <c r="I186" s="33">
        <f t="shared" si="29"/>
        <v>0.59906907406642029</v>
      </c>
      <c r="J186" s="33">
        <f t="shared" si="30"/>
        <v>0.61326889380107164</v>
      </c>
      <c r="K186" s="33">
        <f t="shared" si="31"/>
        <v>0.62965241099044555</v>
      </c>
      <c r="L186" s="33">
        <f t="shared" si="32"/>
        <v>0.65271920230400637</v>
      </c>
      <c r="M186" s="33">
        <f t="shared" si="33"/>
        <v>0.67113338858459581</v>
      </c>
      <c r="N186" s="33">
        <f t="shared" si="34"/>
        <v>0.68430104482939402</v>
      </c>
      <c r="O186" s="33">
        <f t="shared" si="35"/>
        <v>0.70225541720031559</v>
      </c>
    </row>
    <row r="187" spans="1:15" x14ac:dyDescent="0.25">
      <c r="A187" s="2">
        <v>185</v>
      </c>
      <c r="B187" s="33">
        <f>TPR($B$1,$A187,dr)</f>
        <v>0.52683574300911107</v>
      </c>
      <c r="C187" s="33">
        <f>TPR($C$1,$A187,dr)</f>
        <v>0.53728613097523181</v>
      </c>
      <c r="D187" s="33">
        <f t="shared" si="24"/>
        <v>0.54884009934667188</v>
      </c>
      <c r="E187" s="33">
        <f t="shared" si="25"/>
        <v>0.55649106308570817</v>
      </c>
      <c r="F187" s="33">
        <f t="shared" si="26"/>
        <v>0.56433473328986061</v>
      </c>
      <c r="G187" s="33">
        <f t="shared" si="27"/>
        <v>0.57297330403866553</v>
      </c>
      <c r="H187" s="33">
        <f t="shared" si="28"/>
        <v>0.58138315568355736</v>
      </c>
      <c r="I187" s="33">
        <f t="shared" si="29"/>
        <v>0.59662717925623399</v>
      </c>
      <c r="J187" s="33">
        <f t="shared" si="30"/>
        <v>0.61096914352805309</v>
      </c>
      <c r="K187" s="33">
        <f t="shared" si="31"/>
        <v>0.627120328380117</v>
      </c>
      <c r="L187" s="33">
        <f t="shared" si="32"/>
        <v>0.65019182279246701</v>
      </c>
      <c r="M187" s="33">
        <f t="shared" si="33"/>
        <v>0.66859557909061129</v>
      </c>
      <c r="N187" s="33">
        <f t="shared" si="34"/>
        <v>0.6819127325035208</v>
      </c>
      <c r="O187" s="33">
        <f t="shared" si="35"/>
        <v>0.70002437490995617</v>
      </c>
    </row>
    <row r="188" spans="1:15" x14ac:dyDescent="0.25">
      <c r="A188" s="2">
        <v>186</v>
      </c>
      <c r="B188" s="33">
        <f>TPR($B$1,$A188,dr)</f>
        <v>0.52425462580912319</v>
      </c>
      <c r="C188" s="33">
        <f>TPR($C$1,$A188,dr)</f>
        <v>0.53465802687940056</v>
      </c>
      <c r="D188" s="33">
        <f t="shared" si="24"/>
        <v>0.54631797655980008</v>
      </c>
      <c r="E188" s="33">
        <f t="shared" si="25"/>
        <v>0.55409118215142961</v>
      </c>
      <c r="F188" s="33">
        <f t="shared" si="26"/>
        <v>0.56161894071387242</v>
      </c>
      <c r="G188" s="33">
        <f t="shared" si="27"/>
        <v>0.5704064977935196</v>
      </c>
      <c r="H188" s="33">
        <f t="shared" si="28"/>
        <v>0.57896842086382061</v>
      </c>
      <c r="I188" s="33">
        <f t="shared" si="29"/>
        <v>0.59422586835652835</v>
      </c>
      <c r="J188" s="33">
        <f t="shared" si="30"/>
        <v>0.60838496979244894</v>
      </c>
      <c r="K188" s="33">
        <f t="shared" si="31"/>
        <v>0.62454577622828533</v>
      </c>
      <c r="L188" s="33">
        <f t="shared" si="32"/>
        <v>0.64761725730370612</v>
      </c>
      <c r="M188" s="33">
        <f t="shared" si="33"/>
        <v>0.66615947381836371</v>
      </c>
      <c r="N188" s="33">
        <f t="shared" si="34"/>
        <v>0.67952222136610174</v>
      </c>
      <c r="O188" s="33">
        <f t="shared" si="35"/>
        <v>0.69776442043355158</v>
      </c>
    </row>
    <row r="189" spans="1:15" x14ac:dyDescent="0.25">
      <c r="A189" s="2">
        <v>187</v>
      </c>
      <c r="B189" s="33">
        <f>TPR($B$1,$A189,dr)</f>
        <v>0.521819499477986</v>
      </c>
      <c r="C189" s="33">
        <f>TPR($C$1,$A189,dr)</f>
        <v>0.53192957821052533</v>
      </c>
      <c r="D189" s="33">
        <f t="shared" si="24"/>
        <v>0.54359054797088424</v>
      </c>
      <c r="E189" s="33">
        <f t="shared" si="25"/>
        <v>0.55171647233751109</v>
      </c>
      <c r="F189" s="33">
        <f t="shared" si="26"/>
        <v>0.55904112639082315</v>
      </c>
      <c r="G189" s="33">
        <f t="shared" si="27"/>
        <v>0.56797714162000434</v>
      </c>
      <c r="H189" s="33">
        <f t="shared" si="28"/>
        <v>0.57658043158897621</v>
      </c>
      <c r="I189" s="33">
        <f t="shared" si="29"/>
        <v>0.59169956500258403</v>
      </c>
      <c r="J189" s="33">
        <f t="shared" si="30"/>
        <v>0.60580592805295252</v>
      </c>
      <c r="K189" s="33">
        <f t="shared" si="31"/>
        <v>0.62225413322618217</v>
      </c>
      <c r="L189" s="33">
        <f t="shared" si="32"/>
        <v>0.6453222301856596</v>
      </c>
      <c r="M189" s="33">
        <f t="shared" si="33"/>
        <v>0.66397266336567229</v>
      </c>
      <c r="N189" s="33">
        <f t="shared" si="34"/>
        <v>0.67727274984517383</v>
      </c>
      <c r="O189" s="33">
        <f t="shared" si="35"/>
        <v>0.69578366300249672</v>
      </c>
    </row>
    <row r="190" spans="1:15" x14ac:dyDescent="0.25">
      <c r="A190" s="2">
        <v>188</v>
      </c>
      <c r="B190" s="33">
        <f>TPR($B$1,$A190,dr)</f>
        <v>0.51937400906396936</v>
      </c>
      <c r="C190" s="33">
        <f>TPR($C$1,$A190,dr)</f>
        <v>0.52935513752396557</v>
      </c>
      <c r="D190" s="33">
        <f t="shared" si="24"/>
        <v>0.54092981514278338</v>
      </c>
      <c r="E190" s="33">
        <f t="shared" si="25"/>
        <v>0.54915663031547646</v>
      </c>
      <c r="F190" s="33">
        <f t="shared" si="26"/>
        <v>0.55674525506715988</v>
      </c>
      <c r="G190" s="33">
        <f t="shared" si="27"/>
        <v>0.56570213157219029</v>
      </c>
      <c r="H190" s="33">
        <f t="shared" si="28"/>
        <v>0.57422190590368283</v>
      </c>
      <c r="I190" s="33">
        <f t="shared" si="29"/>
        <v>0.58931201737823069</v>
      </c>
      <c r="J190" s="33">
        <f t="shared" si="30"/>
        <v>0.60336100878392085</v>
      </c>
      <c r="K190" s="33">
        <f t="shared" si="31"/>
        <v>0.62006952872909848</v>
      </c>
      <c r="L190" s="33">
        <f t="shared" si="32"/>
        <v>0.64296263839149936</v>
      </c>
      <c r="M190" s="33">
        <f t="shared" si="33"/>
        <v>0.66169204156998518</v>
      </c>
      <c r="N190" s="33">
        <f t="shared" si="34"/>
        <v>0.67513385362210121</v>
      </c>
      <c r="O190" s="33">
        <f t="shared" si="35"/>
        <v>0.69361126116376859</v>
      </c>
    </row>
    <row r="191" spans="1:15" x14ac:dyDescent="0.25">
      <c r="A191" s="2">
        <v>189</v>
      </c>
      <c r="B191" s="33">
        <f>TPR($B$1,$A191,dr)</f>
        <v>0.51691814063637664</v>
      </c>
      <c r="C191" s="33">
        <f>TPR($C$1,$A191,dr)</f>
        <v>0.52709584328353809</v>
      </c>
      <c r="D191" s="33">
        <f t="shared" si="24"/>
        <v>0.53864850586375168</v>
      </c>
      <c r="E191" s="33">
        <f t="shared" si="25"/>
        <v>0.54667759302748686</v>
      </c>
      <c r="F191" s="33">
        <f t="shared" si="26"/>
        <v>0.55485784879339817</v>
      </c>
      <c r="G191" s="33">
        <f t="shared" si="27"/>
        <v>0.56320144440805064</v>
      </c>
      <c r="H191" s="33">
        <f t="shared" si="28"/>
        <v>0.57177365344523101</v>
      </c>
      <c r="I191" s="33">
        <f t="shared" si="29"/>
        <v>0.58682758273575897</v>
      </c>
      <c r="J191" s="33">
        <f t="shared" si="30"/>
        <v>0.60103724940949177</v>
      </c>
      <c r="K191" s="33">
        <f t="shared" si="31"/>
        <v>0.6177605380658342</v>
      </c>
      <c r="L191" s="33">
        <f t="shared" si="32"/>
        <v>0.64059269510070493</v>
      </c>
      <c r="M191" s="33">
        <f t="shared" si="33"/>
        <v>0.65940014501594768</v>
      </c>
      <c r="N191" s="33">
        <f t="shared" si="34"/>
        <v>0.67298634481685427</v>
      </c>
      <c r="O191" s="33">
        <f t="shared" si="35"/>
        <v>0.6914280246887099</v>
      </c>
    </row>
    <row r="192" spans="1:15" x14ac:dyDescent="0.25">
      <c r="A192" s="2">
        <v>190</v>
      </c>
      <c r="B192" s="33">
        <f>TPR($B$1,$A192,dr)</f>
        <v>0.514136563212088</v>
      </c>
      <c r="C192" s="33">
        <f>TPR($C$1,$A192,dr)</f>
        <v>0.52475760714536035</v>
      </c>
      <c r="D192" s="33">
        <f t="shared" si="24"/>
        <v>0.5365702684274225</v>
      </c>
      <c r="E192" s="33">
        <f t="shared" si="25"/>
        <v>0.54433393912760408</v>
      </c>
      <c r="F192" s="33">
        <f t="shared" si="26"/>
        <v>0.55252702131806197</v>
      </c>
      <c r="G192" s="33">
        <f t="shared" si="27"/>
        <v>0.56051171303212277</v>
      </c>
      <c r="H192" s="33">
        <f t="shared" si="28"/>
        <v>0.56927172927495429</v>
      </c>
      <c r="I192" s="33">
        <f t="shared" si="29"/>
        <v>0.58448047195741848</v>
      </c>
      <c r="J192" s="33">
        <f t="shared" si="30"/>
        <v>0.59883906465245795</v>
      </c>
      <c r="K192" s="33">
        <f t="shared" si="31"/>
        <v>0.6152953247117442</v>
      </c>
      <c r="L192" s="33">
        <f t="shared" si="32"/>
        <v>0.63817177765216282</v>
      </c>
      <c r="M192" s="33">
        <f t="shared" si="33"/>
        <v>0.65724317346682348</v>
      </c>
      <c r="N192" s="33">
        <f t="shared" si="34"/>
        <v>0.6709821313304668</v>
      </c>
      <c r="O192" s="33">
        <f t="shared" si="35"/>
        <v>0.6893668377816432</v>
      </c>
    </row>
    <row r="193" spans="1:15" x14ac:dyDescent="0.25">
      <c r="A193" s="2">
        <v>191</v>
      </c>
      <c r="B193" s="33">
        <f>TPR($B$1,$A193,dr)</f>
        <v>0.51134352325522392</v>
      </c>
      <c r="C193" s="33">
        <f>TPR($C$1,$A193,dr)</f>
        <v>0.52224459431153825</v>
      </c>
      <c r="D193" s="33">
        <f t="shared" si="24"/>
        <v>0.53428786291171915</v>
      </c>
      <c r="E193" s="33">
        <f t="shared" si="25"/>
        <v>0.54195000571960383</v>
      </c>
      <c r="F193" s="33">
        <f t="shared" si="26"/>
        <v>0.55005565428928516</v>
      </c>
      <c r="G193" s="33">
        <f t="shared" si="27"/>
        <v>0.55806138125311</v>
      </c>
      <c r="H193" s="33">
        <f t="shared" si="28"/>
        <v>0.56673315210338437</v>
      </c>
      <c r="I193" s="33">
        <f t="shared" si="29"/>
        <v>0.5820926508144405</v>
      </c>
      <c r="J193" s="33">
        <f t="shared" si="30"/>
        <v>0.59649102400902054</v>
      </c>
      <c r="K193" s="33">
        <f t="shared" si="31"/>
        <v>0.61284978404468082</v>
      </c>
      <c r="L193" s="33">
        <f t="shared" si="32"/>
        <v>0.63588539517726639</v>
      </c>
      <c r="M193" s="33">
        <f t="shared" si="33"/>
        <v>0.65516380613885716</v>
      </c>
      <c r="N193" s="33">
        <f t="shared" si="34"/>
        <v>0.66882251928470826</v>
      </c>
      <c r="O193" s="33">
        <f t="shared" si="35"/>
        <v>0.68736075647798633</v>
      </c>
    </row>
    <row r="194" spans="1:15" x14ac:dyDescent="0.25">
      <c r="A194" s="2">
        <v>192</v>
      </c>
      <c r="B194" s="33">
        <f>TPR($B$1,$A194,dr)</f>
        <v>0.50869719258449331</v>
      </c>
      <c r="C194" s="33">
        <f>TPR($C$1,$A194,dr)</f>
        <v>0.51963329669774949</v>
      </c>
      <c r="D194" s="33">
        <f t="shared" ref="D194:D257" si="36">TPR($D$1,$A194,dr)</f>
        <v>0.53190749297582096</v>
      </c>
      <c r="E194" s="33">
        <f t="shared" ref="E194:E257" si="37">TPR($E$1,$A194,dr)</f>
        <v>0.53980353419791727</v>
      </c>
      <c r="F194" s="33">
        <f t="shared" ref="F194:F257" si="38">TPR($F$1,$A194,dr)</f>
        <v>0.54757896131161088</v>
      </c>
      <c r="G194" s="33">
        <f t="shared" ref="G194:G257" si="39">TPR($G$1,$A194,dr)</f>
        <v>0.55573246481497585</v>
      </c>
      <c r="H194" s="33">
        <f t="shared" ref="H194:H257" si="40">TPR($H$1,$A194,dr)</f>
        <v>0.56422898000004074</v>
      </c>
      <c r="I194" s="33">
        <f t="shared" ref="I194:I257" si="41">TPR($I$1,$A194,dr)</f>
        <v>0.57957426444633553</v>
      </c>
      <c r="J194" s="33">
        <f t="shared" ref="J194:J257" si="42">TPR($J$1,$A194,dr)</f>
        <v>0.59413412389587994</v>
      </c>
      <c r="K194" s="33">
        <f t="shared" ref="K194:K257" si="43">TPR($K$1,$A194,dr)</f>
        <v>0.61045123399628032</v>
      </c>
      <c r="L194" s="33">
        <f t="shared" ref="L194:L257" si="44">TPR($L$1,$A194,dr)</f>
        <v>0.63372438439872436</v>
      </c>
      <c r="M194" s="33">
        <f t="shared" ref="M194:M257" si="45">TPR($M$1,$A194,dr)</f>
        <v>0.65290071124995797</v>
      </c>
      <c r="N194" s="33">
        <f t="shared" ref="N194:N257" si="46">TPR($N$1,$A194,dr)</f>
        <v>0.66636539904807623</v>
      </c>
      <c r="O194" s="33">
        <f t="shared" ref="O194:O257" si="47">TPR($O$1,$A194,dr)</f>
        <v>0.68519806733088451</v>
      </c>
    </row>
    <row r="195" spans="1:15" x14ac:dyDescent="0.25">
      <c r="A195" s="2">
        <v>193</v>
      </c>
      <c r="B195" s="33">
        <f>TPR($B$1,$A195,dr)</f>
        <v>0.50635680144519035</v>
      </c>
      <c r="C195" s="33">
        <f>TPR($C$1,$A195,dr)</f>
        <v>0.5171627845708977</v>
      </c>
      <c r="D195" s="33">
        <f t="shared" si="36"/>
        <v>0.52951442143721528</v>
      </c>
      <c r="E195" s="33">
        <f t="shared" si="37"/>
        <v>0.53765098415397305</v>
      </c>
      <c r="F195" s="33">
        <f t="shared" si="38"/>
        <v>0.54509056678066214</v>
      </c>
      <c r="G195" s="33">
        <f t="shared" si="39"/>
        <v>0.55339213414340105</v>
      </c>
      <c r="H195" s="33">
        <f t="shared" si="40"/>
        <v>0.561717653399606</v>
      </c>
      <c r="I195" s="33">
        <f t="shared" si="41"/>
        <v>0.57698698843504315</v>
      </c>
      <c r="J195" s="33">
        <f t="shared" si="42"/>
        <v>0.59148816403394211</v>
      </c>
      <c r="K195" s="33">
        <f t="shared" si="43"/>
        <v>0.60827955442251769</v>
      </c>
      <c r="L195" s="33">
        <f t="shared" si="44"/>
        <v>0.6315026446973464</v>
      </c>
      <c r="M195" s="33">
        <f t="shared" si="45"/>
        <v>0.65051071412410566</v>
      </c>
      <c r="N195" s="33">
        <f t="shared" si="46"/>
        <v>0.66389621055354975</v>
      </c>
      <c r="O195" s="33">
        <f t="shared" si="47"/>
        <v>0.68292093465101256</v>
      </c>
    </row>
    <row r="196" spans="1:15" x14ac:dyDescent="0.25">
      <c r="A196" s="2">
        <v>194</v>
      </c>
      <c r="B196" s="33">
        <f>TPR($B$1,$A196,dr)</f>
        <v>0.50416520769931039</v>
      </c>
      <c r="C196" s="33">
        <f>TPR($C$1,$A196,dr)</f>
        <v>0.51483970216712471</v>
      </c>
      <c r="D196" s="33">
        <f t="shared" si="36"/>
        <v>0.5271550424124779</v>
      </c>
      <c r="E196" s="33">
        <f t="shared" si="37"/>
        <v>0.53533880528856181</v>
      </c>
      <c r="F196" s="33">
        <f t="shared" si="38"/>
        <v>0.54243809465321047</v>
      </c>
      <c r="G196" s="33">
        <f t="shared" si="39"/>
        <v>0.55088884771507085</v>
      </c>
      <c r="H196" s="33">
        <f t="shared" si="40"/>
        <v>0.55925955519242154</v>
      </c>
      <c r="I196" s="33">
        <f t="shared" si="41"/>
        <v>0.57466168674792784</v>
      </c>
      <c r="J196" s="33">
        <f t="shared" si="42"/>
        <v>0.58896895738282751</v>
      </c>
      <c r="K196" s="33">
        <f t="shared" si="43"/>
        <v>0.60595017050001687</v>
      </c>
      <c r="L196" s="33">
        <f t="shared" si="44"/>
        <v>0.62917695207979851</v>
      </c>
      <c r="M196" s="33">
        <f t="shared" si="45"/>
        <v>0.64819407223804792</v>
      </c>
      <c r="N196" s="33">
        <f t="shared" si="46"/>
        <v>0.66184785177222305</v>
      </c>
      <c r="O196" s="33">
        <f t="shared" si="47"/>
        <v>0.68077958639235803</v>
      </c>
    </row>
    <row r="197" spans="1:15" x14ac:dyDescent="0.25">
      <c r="A197" s="2">
        <v>195</v>
      </c>
      <c r="B197" s="33">
        <f>TPR($B$1,$A197,dr)</f>
        <v>0.50212319322619547</v>
      </c>
      <c r="C197" s="33">
        <f>TPR($C$1,$A197,dr)</f>
        <v>0.51266482154499893</v>
      </c>
      <c r="D197" s="33">
        <f t="shared" si="36"/>
        <v>0.5247783049533028</v>
      </c>
      <c r="E197" s="33">
        <f t="shared" si="37"/>
        <v>0.53276905171141176</v>
      </c>
      <c r="F197" s="33">
        <f t="shared" si="38"/>
        <v>0.53977338150555398</v>
      </c>
      <c r="G197" s="33">
        <f t="shared" si="39"/>
        <v>0.5483736114762211</v>
      </c>
      <c r="H197" s="33">
        <f t="shared" si="40"/>
        <v>0.55679110296603662</v>
      </c>
      <c r="I197" s="33">
        <f t="shared" si="41"/>
        <v>0.57247873800045335</v>
      </c>
      <c r="J197" s="33">
        <f t="shared" si="42"/>
        <v>0.58658094847941045</v>
      </c>
      <c r="K197" s="33">
        <f t="shared" si="43"/>
        <v>0.60351698503494233</v>
      </c>
      <c r="L197" s="33">
        <f t="shared" si="44"/>
        <v>0.62698964411098512</v>
      </c>
      <c r="M197" s="33">
        <f t="shared" si="45"/>
        <v>0.64601255506599131</v>
      </c>
      <c r="N197" s="33">
        <f t="shared" si="46"/>
        <v>0.65993523044074875</v>
      </c>
      <c r="O197" s="33">
        <f t="shared" si="47"/>
        <v>0.6786284461085923</v>
      </c>
    </row>
    <row r="198" spans="1:15" x14ac:dyDescent="0.25">
      <c r="A198" s="2">
        <v>196</v>
      </c>
      <c r="B198" s="33">
        <f>TPR($B$1,$A198,dr)</f>
        <v>0.49991304757300886</v>
      </c>
      <c r="C198" s="33">
        <f>TPR($C$1,$A198,dr)</f>
        <v>0.51040478411484036</v>
      </c>
      <c r="D198" s="33">
        <f t="shared" si="36"/>
        <v>0.52233976540432747</v>
      </c>
      <c r="E198" s="33">
        <f t="shared" si="37"/>
        <v>0.53014693226266607</v>
      </c>
      <c r="F198" s="33">
        <f t="shared" si="38"/>
        <v>0.53754989217761362</v>
      </c>
      <c r="G198" s="33">
        <f t="shared" si="39"/>
        <v>0.54604318235161542</v>
      </c>
      <c r="H198" s="33">
        <f t="shared" si="40"/>
        <v>0.55446362854437181</v>
      </c>
      <c r="I198" s="33">
        <f t="shared" si="41"/>
        <v>0.57004191114645553</v>
      </c>
      <c r="J198" s="33">
        <f t="shared" si="42"/>
        <v>0.58418153116890403</v>
      </c>
      <c r="K198" s="33">
        <f t="shared" si="43"/>
        <v>0.60094955082343693</v>
      </c>
      <c r="L198" s="33">
        <f t="shared" si="44"/>
        <v>0.62474256208390511</v>
      </c>
      <c r="M198" s="33">
        <f t="shared" si="45"/>
        <v>0.64364485604594457</v>
      </c>
      <c r="N198" s="33">
        <f t="shared" si="46"/>
        <v>0.65773146770886992</v>
      </c>
      <c r="O198" s="33">
        <f t="shared" si="47"/>
        <v>0.67660913921070742</v>
      </c>
    </row>
    <row r="199" spans="1:15" x14ac:dyDescent="0.25">
      <c r="A199" s="2">
        <v>197</v>
      </c>
      <c r="B199" s="33">
        <f>TPR($B$1,$A199,dr)</f>
        <v>0.4975339623257492</v>
      </c>
      <c r="C199" s="33">
        <f>TPR($C$1,$A199,dr)</f>
        <v>0.50805820699619786</v>
      </c>
      <c r="D199" s="33">
        <f t="shared" si="36"/>
        <v>0.51994681368510254</v>
      </c>
      <c r="E199" s="33">
        <f t="shared" si="37"/>
        <v>0.52763774033187261</v>
      </c>
      <c r="F199" s="33">
        <f t="shared" si="38"/>
        <v>0.5353143583320501</v>
      </c>
      <c r="G199" s="33">
        <f t="shared" si="39"/>
        <v>0.54344615209402658</v>
      </c>
      <c r="H199" s="33">
        <f t="shared" si="40"/>
        <v>0.55203027576524466</v>
      </c>
      <c r="I199" s="33">
        <f t="shared" si="41"/>
        <v>0.56771880814970443</v>
      </c>
      <c r="J199" s="33">
        <f t="shared" si="42"/>
        <v>0.58177819761906269</v>
      </c>
      <c r="K199" s="33">
        <f t="shared" si="43"/>
        <v>0.59858685468352291</v>
      </c>
      <c r="L199" s="33">
        <f t="shared" si="44"/>
        <v>0.62238978066569473</v>
      </c>
      <c r="M199" s="33">
        <f t="shared" si="45"/>
        <v>0.64126575669126218</v>
      </c>
      <c r="N199" s="33">
        <f t="shared" si="46"/>
        <v>0.65551532017707848</v>
      </c>
      <c r="O199" s="33">
        <f t="shared" si="47"/>
        <v>0.67463308886822049</v>
      </c>
    </row>
    <row r="200" spans="1:15" x14ac:dyDescent="0.25">
      <c r="A200" s="2">
        <v>198</v>
      </c>
      <c r="B200" s="33">
        <f>TPR($B$1,$A200,dr)</f>
        <v>0.49498512774368242</v>
      </c>
      <c r="C200" s="33">
        <f>TPR($C$1,$A200,dr)</f>
        <v>0.50562370339885754</v>
      </c>
      <c r="D200" s="33">
        <f t="shared" si="36"/>
        <v>0.51770407094143822</v>
      </c>
      <c r="E200" s="33">
        <f t="shared" si="37"/>
        <v>0.52547233460340315</v>
      </c>
      <c r="F200" s="33">
        <f t="shared" si="38"/>
        <v>0.53292363052872915</v>
      </c>
      <c r="G200" s="33">
        <f t="shared" si="39"/>
        <v>0.54107612711219388</v>
      </c>
      <c r="H200" s="33">
        <f t="shared" si="40"/>
        <v>0.54978409623455271</v>
      </c>
      <c r="I200" s="33">
        <f t="shared" si="41"/>
        <v>0.56516363209190024</v>
      </c>
      <c r="J200" s="33">
        <f t="shared" si="42"/>
        <v>0.57951599799369125</v>
      </c>
      <c r="K200" s="33">
        <f t="shared" si="43"/>
        <v>0.59648642964005649</v>
      </c>
      <c r="L200" s="33">
        <f t="shared" si="44"/>
        <v>0.62022637830360328</v>
      </c>
      <c r="M200" s="33">
        <f t="shared" si="45"/>
        <v>0.63914585030703008</v>
      </c>
      <c r="N200" s="33">
        <f t="shared" si="46"/>
        <v>0.65343080734241787</v>
      </c>
      <c r="O200" s="33">
        <f t="shared" si="47"/>
        <v>0.67250491815114422</v>
      </c>
    </row>
    <row r="201" spans="1:15" x14ac:dyDescent="0.25">
      <c r="A201" s="2">
        <v>199</v>
      </c>
      <c r="B201" s="33">
        <f>TPR($B$1,$A201,dr)</f>
        <v>0.49258582069179596</v>
      </c>
      <c r="C201" s="33">
        <f>TPR($C$1,$A201,dr)</f>
        <v>0.50333617472729486</v>
      </c>
      <c r="D201" s="33">
        <f t="shared" si="36"/>
        <v>0.51565956679963632</v>
      </c>
      <c r="E201" s="33">
        <f t="shared" si="37"/>
        <v>0.52353044949695426</v>
      </c>
      <c r="F201" s="33">
        <f t="shared" si="38"/>
        <v>0.53037182962964247</v>
      </c>
      <c r="G201" s="33">
        <f t="shared" si="39"/>
        <v>0.53905561730787843</v>
      </c>
      <c r="H201" s="33">
        <f t="shared" si="40"/>
        <v>0.5475739701897766</v>
      </c>
      <c r="I201" s="33">
        <f t="shared" si="41"/>
        <v>0.56272118675780169</v>
      </c>
      <c r="J201" s="33">
        <f t="shared" si="42"/>
        <v>0.57724285070923698</v>
      </c>
      <c r="K201" s="33">
        <f t="shared" si="43"/>
        <v>0.59435241055964461</v>
      </c>
      <c r="L201" s="33">
        <f t="shared" si="44"/>
        <v>0.61800474917309822</v>
      </c>
      <c r="M201" s="33">
        <f t="shared" si="45"/>
        <v>0.63713960038682604</v>
      </c>
      <c r="N201" s="33">
        <f t="shared" si="46"/>
        <v>0.65133743932678811</v>
      </c>
      <c r="O201" s="33">
        <f t="shared" si="47"/>
        <v>0.67031797756268008</v>
      </c>
    </row>
    <row r="202" spans="1:15" x14ac:dyDescent="0.25">
      <c r="A202" s="2">
        <v>200</v>
      </c>
      <c r="B202" s="33">
        <f>TPR($B$1,$A202,dr)</f>
        <v>0.49033682570289733</v>
      </c>
      <c r="C202" s="33">
        <f>TPR($C$1,$A202,dr)</f>
        <v>0.5010383930120722</v>
      </c>
      <c r="D202" s="33">
        <f t="shared" si="36"/>
        <v>0.5133959495847592</v>
      </c>
      <c r="E202" s="33">
        <f t="shared" si="37"/>
        <v>0.52137866466130567</v>
      </c>
      <c r="F202" s="33">
        <f t="shared" si="38"/>
        <v>0.52811213057900974</v>
      </c>
      <c r="G202" s="33">
        <f t="shared" si="39"/>
        <v>0.53668882103898208</v>
      </c>
      <c r="H202" s="33">
        <f t="shared" si="40"/>
        <v>0.54520714808545756</v>
      </c>
      <c r="I202" s="33">
        <f t="shared" si="41"/>
        <v>0.56049460561488995</v>
      </c>
      <c r="J202" s="33">
        <f t="shared" si="42"/>
        <v>0.57480818776838094</v>
      </c>
      <c r="K202" s="33">
        <f t="shared" si="43"/>
        <v>0.59208648168129363</v>
      </c>
      <c r="L202" s="33">
        <f t="shared" si="44"/>
        <v>0.61572214720719276</v>
      </c>
      <c r="M202" s="33">
        <f t="shared" si="45"/>
        <v>0.63497661596234856</v>
      </c>
      <c r="N202" s="33">
        <f t="shared" si="46"/>
        <v>0.64908883032490017</v>
      </c>
      <c r="O202" s="33">
        <f t="shared" si="47"/>
        <v>0.66816789872945481</v>
      </c>
    </row>
    <row r="203" spans="1:15" x14ac:dyDescent="0.25">
      <c r="A203" s="2">
        <v>201</v>
      </c>
      <c r="B203" s="33">
        <f>TPR($B$1,$A203,dr)</f>
        <v>0.48823892863652779</v>
      </c>
      <c r="C203" s="33">
        <f>TPR($C$1,$A203,dr)</f>
        <v>0.49857471872479336</v>
      </c>
      <c r="D203" s="33">
        <f t="shared" si="36"/>
        <v>0.51065195304298172</v>
      </c>
      <c r="E203" s="33">
        <f t="shared" si="37"/>
        <v>0.5188034565945141</v>
      </c>
      <c r="F203" s="33">
        <f t="shared" si="38"/>
        <v>0.5256926044124417</v>
      </c>
      <c r="G203" s="33">
        <f t="shared" si="39"/>
        <v>0.53416034133927082</v>
      </c>
      <c r="H203" s="33">
        <f t="shared" si="40"/>
        <v>0.54267779311225028</v>
      </c>
      <c r="I203" s="33">
        <f t="shared" si="41"/>
        <v>0.55826063229392875</v>
      </c>
      <c r="J203" s="33">
        <f t="shared" si="42"/>
        <v>0.57234799350432608</v>
      </c>
      <c r="K203" s="33">
        <f t="shared" si="43"/>
        <v>0.59006268250584848</v>
      </c>
      <c r="L203" s="33">
        <f t="shared" si="44"/>
        <v>0.61337955326398619</v>
      </c>
      <c r="M203" s="33">
        <f t="shared" si="45"/>
        <v>0.63268044844698235</v>
      </c>
      <c r="N203" s="33">
        <f t="shared" si="46"/>
        <v>0.64680973274568121</v>
      </c>
      <c r="O203" s="33">
        <f t="shared" si="47"/>
        <v>0.66615503313665669</v>
      </c>
    </row>
    <row r="204" spans="1:15" x14ac:dyDescent="0.25">
      <c r="A204" s="2">
        <v>202</v>
      </c>
      <c r="B204" s="33">
        <f>TPR($B$1,$A204,dr)</f>
        <v>0.48613207358586391</v>
      </c>
      <c r="C204" s="33">
        <f>TPR($C$1,$A204,dr)</f>
        <v>0.49626139550763354</v>
      </c>
      <c r="D204" s="33">
        <f t="shared" si="36"/>
        <v>0.50810691696989774</v>
      </c>
      <c r="E204" s="33">
        <f t="shared" si="37"/>
        <v>0.51624145179546821</v>
      </c>
      <c r="F204" s="33">
        <f t="shared" si="38"/>
        <v>0.52341484834101393</v>
      </c>
      <c r="G204" s="33">
        <f t="shared" si="39"/>
        <v>0.53165003207707207</v>
      </c>
      <c r="H204" s="33">
        <f t="shared" si="40"/>
        <v>0.54023819561696607</v>
      </c>
      <c r="I204" s="33">
        <f t="shared" si="41"/>
        <v>0.55583674202313671</v>
      </c>
      <c r="J204" s="33">
        <f t="shared" si="42"/>
        <v>0.57032691619100684</v>
      </c>
      <c r="K204" s="33">
        <f t="shared" si="43"/>
        <v>0.58778082614738392</v>
      </c>
      <c r="L204" s="33">
        <f t="shared" si="44"/>
        <v>0.61107588891636577</v>
      </c>
      <c r="M204" s="33">
        <f t="shared" si="45"/>
        <v>0.63052339213025332</v>
      </c>
      <c r="N204" s="33">
        <f t="shared" si="46"/>
        <v>0.64466936729216484</v>
      </c>
      <c r="O204" s="33">
        <f t="shared" si="47"/>
        <v>0.66413211048072662</v>
      </c>
    </row>
    <row r="205" spans="1:15" x14ac:dyDescent="0.25">
      <c r="A205" s="2">
        <v>203</v>
      </c>
      <c r="B205" s="33">
        <f>TPR($B$1,$A205,dr)</f>
        <v>0.48401624861030895</v>
      </c>
      <c r="C205" s="33">
        <f>TPR($C$1,$A205,dr)</f>
        <v>0.49417562546207294</v>
      </c>
      <c r="D205" s="33">
        <f t="shared" si="36"/>
        <v>0.5059727439642796</v>
      </c>
      <c r="E205" s="33">
        <f t="shared" si="37"/>
        <v>0.51395413292932801</v>
      </c>
      <c r="F205" s="33">
        <f t="shared" si="38"/>
        <v>0.52128153460560867</v>
      </c>
      <c r="G205" s="33">
        <f t="shared" si="39"/>
        <v>0.52928617021070479</v>
      </c>
      <c r="H205" s="33">
        <f t="shared" si="40"/>
        <v>0.53793987624201745</v>
      </c>
      <c r="I205" s="33">
        <f t="shared" si="41"/>
        <v>0.55350419792912187</v>
      </c>
      <c r="J205" s="33">
        <f t="shared" si="42"/>
        <v>0.56814575700653802</v>
      </c>
      <c r="K205" s="33">
        <f t="shared" si="43"/>
        <v>0.58536340712410551</v>
      </c>
      <c r="L205" s="33">
        <f t="shared" si="44"/>
        <v>0.60876150490702108</v>
      </c>
      <c r="M205" s="33">
        <f t="shared" si="45"/>
        <v>0.62835677994018857</v>
      </c>
      <c r="N205" s="33">
        <f t="shared" si="46"/>
        <v>0.64251949372116435</v>
      </c>
      <c r="O205" s="33">
        <f t="shared" si="47"/>
        <v>0.66189900884304564</v>
      </c>
    </row>
    <row r="206" spans="1:15" x14ac:dyDescent="0.25">
      <c r="A206" s="2">
        <v>204</v>
      </c>
      <c r="B206" s="33">
        <f>TPR($B$1,$A206,dr)</f>
        <v>0.48189144176926618</v>
      </c>
      <c r="C206" s="33">
        <f>TPR($C$1,$A206,dr)</f>
        <v>0.49208099394455146</v>
      </c>
      <c r="D206" s="33">
        <f t="shared" si="36"/>
        <v>0.50383125260992823</v>
      </c>
      <c r="E206" s="33">
        <f t="shared" si="37"/>
        <v>0.51168001517691097</v>
      </c>
      <c r="F206" s="33">
        <f t="shared" si="38"/>
        <v>0.51929019642697882</v>
      </c>
      <c r="G206" s="33">
        <f t="shared" si="39"/>
        <v>0.527069508028294</v>
      </c>
      <c r="H206" s="33">
        <f t="shared" si="40"/>
        <v>0.53558589193026096</v>
      </c>
      <c r="I206" s="33">
        <f t="shared" si="41"/>
        <v>0.55113751753933415</v>
      </c>
      <c r="J206" s="33">
        <f t="shared" si="42"/>
        <v>0.56580501944860817</v>
      </c>
      <c r="K206" s="33">
        <f t="shared" si="43"/>
        <v>0.58295883958456185</v>
      </c>
      <c r="L206" s="33">
        <f t="shared" si="44"/>
        <v>0.60658625686753642</v>
      </c>
      <c r="M206" s="33">
        <f t="shared" si="45"/>
        <v>0.62628450654061674</v>
      </c>
      <c r="N206" s="33">
        <f t="shared" si="46"/>
        <v>0.64021585381799906</v>
      </c>
      <c r="O206" s="33">
        <f t="shared" si="47"/>
        <v>0.65990756552107344</v>
      </c>
    </row>
    <row r="207" spans="1:15" x14ac:dyDescent="0.25">
      <c r="A207" s="2">
        <v>205</v>
      </c>
      <c r="B207" s="33">
        <f>TPR($B$1,$A207,dr)</f>
        <v>0.47943435270200374</v>
      </c>
      <c r="C207" s="33">
        <f>TPR($C$1,$A207,dr)</f>
        <v>0.48981485641197881</v>
      </c>
      <c r="D207" s="33">
        <f t="shared" si="36"/>
        <v>0.50173282512239081</v>
      </c>
      <c r="E207" s="33">
        <f t="shared" si="37"/>
        <v>0.50952723827377255</v>
      </c>
      <c r="F207" s="33">
        <f t="shared" si="38"/>
        <v>0.51729093288940964</v>
      </c>
      <c r="G207" s="33">
        <f t="shared" si="39"/>
        <v>0.52484650224972484</v>
      </c>
      <c r="H207" s="33">
        <f t="shared" si="40"/>
        <v>0.53332195020568185</v>
      </c>
      <c r="I207" s="33">
        <f t="shared" si="41"/>
        <v>0.54876095617681453</v>
      </c>
      <c r="J207" s="33">
        <f t="shared" si="42"/>
        <v>0.56345448099873119</v>
      </c>
      <c r="K207" s="33">
        <f t="shared" si="43"/>
        <v>0.58054312526792884</v>
      </c>
      <c r="L207" s="33">
        <f t="shared" si="44"/>
        <v>0.60435278355891553</v>
      </c>
      <c r="M207" s="33">
        <f t="shared" si="45"/>
        <v>0.62405517795335708</v>
      </c>
      <c r="N207" s="33">
        <f t="shared" si="46"/>
        <v>0.63775523261644629</v>
      </c>
      <c r="O207" s="33">
        <f t="shared" si="47"/>
        <v>0.65796152544402653</v>
      </c>
    </row>
    <row r="208" spans="1:15" x14ac:dyDescent="0.25">
      <c r="A208" s="2">
        <v>206</v>
      </c>
      <c r="B208" s="33">
        <f>TPR($B$1,$A208,dr)</f>
        <v>0.47712909965442535</v>
      </c>
      <c r="C208" s="33">
        <f>TPR($C$1,$A208,dr)</f>
        <v>0.48754195650683335</v>
      </c>
      <c r="D208" s="33">
        <f t="shared" si="36"/>
        <v>0.49956848442326574</v>
      </c>
      <c r="E208" s="33">
        <f t="shared" si="37"/>
        <v>0.50747520307483041</v>
      </c>
      <c r="F208" s="33">
        <f t="shared" si="38"/>
        <v>0.51513412743730336</v>
      </c>
      <c r="G208" s="33">
        <f t="shared" si="39"/>
        <v>0.52271120583339403</v>
      </c>
      <c r="H208" s="33">
        <f t="shared" si="40"/>
        <v>0.53110490473068173</v>
      </c>
      <c r="I208" s="33">
        <f t="shared" si="41"/>
        <v>0.54637450092431716</v>
      </c>
      <c r="J208" s="33">
        <f t="shared" si="42"/>
        <v>0.56109412887879162</v>
      </c>
      <c r="K208" s="33">
        <f t="shared" si="43"/>
        <v>0.57826734971290428</v>
      </c>
      <c r="L208" s="33">
        <f t="shared" si="44"/>
        <v>0.60221243795616974</v>
      </c>
      <c r="M208" s="33">
        <f t="shared" si="45"/>
        <v>0.62186198678071036</v>
      </c>
      <c r="N208" s="33">
        <f t="shared" si="46"/>
        <v>0.63557851800538645</v>
      </c>
      <c r="O208" s="33">
        <f t="shared" si="47"/>
        <v>0.65575084462879418</v>
      </c>
    </row>
    <row r="209" spans="1:15" x14ac:dyDescent="0.25">
      <c r="A209" s="2">
        <v>207</v>
      </c>
      <c r="B209" s="33">
        <f>TPR($B$1,$A209,dr)</f>
        <v>0.47465211367895382</v>
      </c>
      <c r="C209" s="33">
        <f>TPR($C$1,$A209,dr)</f>
        <v>0.48517738713583458</v>
      </c>
      <c r="D209" s="33">
        <f t="shared" si="36"/>
        <v>0.49729479539405924</v>
      </c>
      <c r="E209" s="33">
        <f t="shared" si="37"/>
        <v>0.50512409834867722</v>
      </c>
      <c r="F209" s="33">
        <f t="shared" si="38"/>
        <v>0.51280934526457256</v>
      </c>
      <c r="G209" s="33">
        <f t="shared" si="39"/>
        <v>0.52053584631353633</v>
      </c>
      <c r="H209" s="33">
        <f t="shared" si="40"/>
        <v>0.52888023206066914</v>
      </c>
      <c r="I209" s="33">
        <f t="shared" si="41"/>
        <v>0.54399996732851919</v>
      </c>
      <c r="J209" s="33">
        <f t="shared" si="42"/>
        <v>0.55887182159469773</v>
      </c>
      <c r="K209" s="33">
        <f t="shared" si="43"/>
        <v>0.57613223809628866</v>
      </c>
      <c r="L209" s="33">
        <f t="shared" si="44"/>
        <v>0.60016695194992686</v>
      </c>
      <c r="M209" s="33">
        <f t="shared" si="45"/>
        <v>0.61968061716931455</v>
      </c>
      <c r="N209" s="33">
        <f t="shared" si="46"/>
        <v>0.63353783711641654</v>
      </c>
      <c r="O209" s="33">
        <f t="shared" si="47"/>
        <v>0.65363190526251447</v>
      </c>
    </row>
    <row r="210" spans="1:15" x14ac:dyDescent="0.25">
      <c r="A210" s="2">
        <v>208</v>
      </c>
      <c r="B210" s="33">
        <f>TPR($B$1,$A210,dr)</f>
        <v>0.47248992035260146</v>
      </c>
      <c r="C210" s="33">
        <f>TPR($C$1,$A210,dr)</f>
        <v>0.48296786978564576</v>
      </c>
      <c r="D210" s="33">
        <f t="shared" si="36"/>
        <v>0.49506186042702693</v>
      </c>
      <c r="E210" s="33">
        <f t="shared" si="37"/>
        <v>0.50289857017540085</v>
      </c>
      <c r="F210" s="33">
        <f t="shared" si="38"/>
        <v>0.51048010737314742</v>
      </c>
      <c r="G210" s="33">
        <f t="shared" si="39"/>
        <v>0.51847308308435758</v>
      </c>
      <c r="H210" s="33">
        <f t="shared" si="40"/>
        <v>0.52680229076880192</v>
      </c>
      <c r="I210" s="33">
        <f t="shared" si="41"/>
        <v>0.5416358712250724</v>
      </c>
      <c r="J210" s="33">
        <f t="shared" si="42"/>
        <v>0.55678638768118949</v>
      </c>
      <c r="K210" s="33">
        <f t="shared" si="43"/>
        <v>0.57383532599114617</v>
      </c>
      <c r="L210" s="33">
        <f t="shared" si="44"/>
        <v>0.59801027311524668</v>
      </c>
      <c r="M210" s="33">
        <f t="shared" si="45"/>
        <v>0.61748866893772536</v>
      </c>
      <c r="N210" s="33">
        <f t="shared" si="46"/>
        <v>0.63148682815315393</v>
      </c>
      <c r="O210" s="33">
        <f t="shared" si="47"/>
        <v>0.65169945144180741</v>
      </c>
    </row>
    <row r="211" spans="1:15" x14ac:dyDescent="0.25">
      <c r="A211" s="2">
        <v>209</v>
      </c>
      <c r="B211" s="33">
        <f>TPR($B$1,$A211,dr)</f>
        <v>0.47048139981390602</v>
      </c>
      <c r="C211" s="33">
        <f>TPR($C$1,$A211,dr)</f>
        <v>0.48083300909779048</v>
      </c>
      <c r="D211" s="33">
        <f t="shared" si="36"/>
        <v>0.49277064994209452</v>
      </c>
      <c r="E211" s="33">
        <f t="shared" si="37"/>
        <v>0.50050744681780479</v>
      </c>
      <c r="F211" s="33">
        <f t="shared" si="38"/>
        <v>0.50798636554601073</v>
      </c>
      <c r="G211" s="33">
        <f t="shared" si="39"/>
        <v>0.51624328237199268</v>
      </c>
      <c r="H211" s="33">
        <f t="shared" si="40"/>
        <v>0.52456259256285576</v>
      </c>
      <c r="I211" s="33">
        <f t="shared" si="41"/>
        <v>0.53963753451871743</v>
      </c>
      <c r="J211" s="33">
        <f t="shared" si="42"/>
        <v>0.55455951511266455</v>
      </c>
      <c r="K211" s="33">
        <f t="shared" si="43"/>
        <v>0.57163834046477868</v>
      </c>
      <c r="L211" s="33">
        <f t="shared" si="44"/>
        <v>0.59574064436823904</v>
      </c>
      <c r="M211" s="33">
        <f t="shared" si="45"/>
        <v>0.61530658830594931</v>
      </c>
      <c r="N211" s="33">
        <f t="shared" si="46"/>
        <v>0.62957030383954127</v>
      </c>
      <c r="O211" s="33">
        <f t="shared" si="47"/>
        <v>0.64975733174061778</v>
      </c>
    </row>
    <row r="212" spans="1:15" x14ac:dyDescent="0.25">
      <c r="A212" s="2">
        <v>210</v>
      </c>
      <c r="B212" s="33">
        <f>TPR($B$1,$A212,dr)</f>
        <v>0.46862734521943944</v>
      </c>
      <c r="C212" s="33">
        <f>TPR($C$1,$A212,dr)</f>
        <v>0.47877419381228042</v>
      </c>
      <c r="D212" s="33">
        <f t="shared" si="36"/>
        <v>0.49066533903533949</v>
      </c>
      <c r="E212" s="33">
        <f t="shared" si="37"/>
        <v>0.49867567770599913</v>
      </c>
      <c r="F212" s="33">
        <f t="shared" si="38"/>
        <v>0.50565959344477418</v>
      </c>
      <c r="G212" s="33">
        <f t="shared" si="39"/>
        <v>0.5139125229370376</v>
      </c>
      <c r="H212" s="33">
        <f t="shared" si="40"/>
        <v>0.52234980157036637</v>
      </c>
      <c r="I212" s="33">
        <f t="shared" si="41"/>
        <v>0.5377459483170528</v>
      </c>
      <c r="J212" s="33">
        <f t="shared" si="42"/>
        <v>0.55218543478535198</v>
      </c>
      <c r="K212" s="33">
        <f t="shared" si="43"/>
        <v>0.56941295126648539</v>
      </c>
      <c r="L212" s="33">
        <f t="shared" si="44"/>
        <v>0.5934025855650451</v>
      </c>
      <c r="M212" s="33">
        <f t="shared" si="45"/>
        <v>0.61324406735011572</v>
      </c>
      <c r="N212" s="33">
        <f t="shared" si="46"/>
        <v>0.62764888527982665</v>
      </c>
      <c r="O212" s="33">
        <f t="shared" si="47"/>
        <v>0.64760975190507564</v>
      </c>
    </row>
    <row r="213" spans="1:15" x14ac:dyDescent="0.25">
      <c r="A213" s="2">
        <v>211</v>
      </c>
      <c r="B213" s="33">
        <f>TPR($B$1,$A213,dr)</f>
        <v>0.46676529863820099</v>
      </c>
      <c r="C213" s="33">
        <f>TPR($C$1,$A213,dr)</f>
        <v>0.47663191454263371</v>
      </c>
      <c r="D213" s="33">
        <f t="shared" si="36"/>
        <v>0.48834105298780955</v>
      </c>
      <c r="E213" s="33">
        <f t="shared" si="37"/>
        <v>0.49656512459228891</v>
      </c>
      <c r="F213" s="33">
        <f t="shared" si="38"/>
        <v>0.50331415059262219</v>
      </c>
      <c r="G213" s="33">
        <f t="shared" si="39"/>
        <v>0.51169376914281706</v>
      </c>
      <c r="H213" s="33">
        <f t="shared" si="40"/>
        <v>0.52018717939741843</v>
      </c>
      <c r="I213" s="33">
        <f t="shared" si="41"/>
        <v>0.53560157459141489</v>
      </c>
      <c r="J213" s="33">
        <f t="shared" si="42"/>
        <v>0.54993897846155504</v>
      </c>
      <c r="K213" s="33">
        <f t="shared" si="43"/>
        <v>0.56721949255644766</v>
      </c>
      <c r="L213" s="33">
        <f t="shared" si="44"/>
        <v>0.59121836672467409</v>
      </c>
      <c r="M213" s="33">
        <f t="shared" si="45"/>
        <v>0.61102005575773111</v>
      </c>
      <c r="N213" s="33">
        <f t="shared" si="46"/>
        <v>0.6255666651810039</v>
      </c>
      <c r="O213" s="33">
        <f t="shared" si="47"/>
        <v>0.64534798862296305</v>
      </c>
    </row>
    <row r="214" spans="1:15" x14ac:dyDescent="0.25">
      <c r="A214" s="2">
        <v>212</v>
      </c>
      <c r="B214" s="33">
        <f>TPR($B$1,$A214,dr)</f>
        <v>0.4647317282340539</v>
      </c>
      <c r="C214" s="33">
        <f>TPR($C$1,$A214,dr)</f>
        <v>0.47447537768577303</v>
      </c>
      <c r="D214" s="33">
        <f t="shared" si="36"/>
        <v>0.4861170902340633</v>
      </c>
      <c r="E214" s="33">
        <f t="shared" si="37"/>
        <v>0.49446770943408519</v>
      </c>
      <c r="F214" s="33">
        <f t="shared" si="38"/>
        <v>0.50111082842741361</v>
      </c>
      <c r="G214" s="33">
        <f t="shared" si="39"/>
        <v>0.50962040033603617</v>
      </c>
      <c r="H214" s="33">
        <f t="shared" si="40"/>
        <v>0.5180775504423808</v>
      </c>
      <c r="I214" s="33">
        <f t="shared" si="41"/>
        <v>0.53319846003213245</v>
      </c>
      <c r="J214" s="33">
        <f t="shared" si="42"/>
        <v>0.54781514333027903</v>
      </c>
      <c r="K214" s="33">
        <f t="shared" si="43"/>
        <v>0.56501675038229238</v>
      </c>
      <c r="L214" s="33">
        <f t="shared" si="44"/>
        <v>0.58907124607097627</v>
      </c>
      <c r="M214" s="33">
        <f t="shared" si="45"/>
        <v>0.60893701139347201</v>
      </c>
      <c r="N214" s="33">
        <f t="shared" si="46"/>
        <v>0.62362522126146358</v>
      </c>
      <c r="O214" s="33">
        <f t="shared" si="47"/>
        <v>0.64348164060582957</v>
      </c>
    </row>
    <row r="215" spans="1:15" x14ac:dyDescent="0.25">
      <c r="A215" s="2">
        <v>213</v>
      </c>
      <c r="B215" s="33">
        <f>TPR($B$1,$A215,dr)</f>
        <v>0.46268960655722891</v>
      </c>
      <c r="C215" s="33">
        <f>TPR($C$1,$A215,dr)</f>
        <v>0.47254037986038089</v>
      </c>
      <c r="D215" s="33">
        <f t="shared" si="36"/>
        <v>0.48426728538618291</v>
      </c>
      <c r="E215" s="33">
        <f t="shared" si="37"/>
        <v>0.49250167981519666</v>
      </c>
      <c r="F215" s="33">
        <f t="shared" si="38"/>
        <v>0.49890807866457587</v>
      </c>
      <c r="G215" s="33">
        <f t="shared" si="39"/>
        <v>0.50753683639988256</v>
      </c>
      <c r="H215" s="33">
        <f t="shared" si="40"/>
        <v>0.51596074992734209</v>
      </c>
      <c r="I215" s="33">
        <f t="shared" si="41"/>
        <v>0.53090032844651447</v>
      </c>
      <c r="J215" s="33">
        <f t="shared" si="42"/>
        <v>0.54554254787409162</v>
      </c>
      <c r="K215" s="33">
        <f t="shared" si="43"/>
        <v>0.56280471264655041</v>
      </c>
      <c r="L215" s="33">
        <f t="shared" si="44"/>
        <v>0.58696019414948264</v>
      </c>
      <c r="M215" s="33">
        <f t="shared" si="45"/>
        <v>0.60694008704713265</v>
      </c>
      <c r="N215" s="33">
        <f t="shared" si="46"/>
        <v>0.62139538912120973</v>
      </c>
      <c r="O215" s="33">
        <f t="shared" si="47"/>
        <v>0.64166772957119667</v>
      </c>
    </row>
    <row r="216" spans="1:15" x14ac:dyDescent="0.25">
      <c r="A216" s="2">
        <v>214</v>
      </c>
      <c r="B216" s="33">
        <f>TPR($B$1,$A216,dr)</f>
        <v>0.46047486282892158</v>
      </c>
      <c r="C216" s="33">
        <f>TPR($C$1,$A216,dr)</f>
        <v>0.47066337998590413</v>
      </c>
      <c r="D216" s="33">
        <f t="shared" si="36"/>
        <v>0.48249447691393493</v>
      </c>
      <c r="E216" s="33">
        <f t="shared" si="37"/>
        <v>0.49014749758814113</v>
      </c>
      <c r="F216" s="33">
        <f t="shared" si="38"/>
        <v>0.49696828845687246</v>
      </c>
      <c r="G216" s="33">
        <f t="shared" si="39"/>
        <v>0.50539637948938942</v>
      </c>
      <c r="H216" s="33">
        <f t="shared" si="40"/>
        <v>0.51368088195939154</v>
      </c>
      <c r="I216" s="33">
        <f t="shared" si="41"/>
        <v>0.52884745116976739</v>
      </c>
      <c r="J216" s="33">
        <f t="shared" si="42"/>
        <v>0.54313315230767745</v>
      </c>
      <c r="K216" s="33">
        <f t="shared" si="43"/>
        <v>0.5607001273608283</v>
      </c>
      <c r="L216" s="33">
        <f t="shared" si="44"/>
        <v>0.58473184884236595</v>
      </c>
      <c r="M216" s="33">
        <f t="shared" si="45"/>
        <v>0.60495443876763688</v>
      </c>
      <c r="N216" s="33">
        <f t="shared" si="46"/>
        <v>0.61930134425251104</v>
      </c>
      <c r="O216" s="33">
        <f t="shared" si="47"/>
        <v>0.6395897564486025</v>
      </c>
    </row>
    <row r="217" spans="1:15" x14ac:dyDescent="0.25">
      <c r="A217" s="2">
        <v>215</v>
      </c>
      <c r="B217" s="33">
        <f>TPR($B$1,$A217,dr)</f>
        <v>0.45808667735790065</v>
      </c>
      <c r="C217" s="33">
        <f>TPR($C$1,$A217,dr)</f>
        <v>0.46838586267201249</v>
      </c>
      <c r="D217" s="33">
        <f t="shared" si="36"/>
        <v>0.48026537379405587</v>
      </c>
      <c r="E217" s="33">
        <f t="shared" si="37"/>
        <v>0.4877438542587631</v>
      </c>
      <c r="F217" s="33">
        <f t="shared" si="38"/>
        <v>0.49472045623319089</v>
      </c>
      <c r="G217" s="33">
        <f t="shared" si="39"/>
        <v>0.50317513634069544</v>
      </c>
      <c r="H217" s="33">
        <f t="shared" si="40"/>
        <v>0.51139331879639494</v>
      </c>
      <c r="I217" s="33">
        <f t="shared" si="41"/>
        <v>0.52678905749742566</v>
      </c>
      <c r="J217" s="33">
        <f t="shared" si="42"/>
        <v>0.54071768375316398</v>
      </c>
      <c r="K217" s="33">
        <f t="shared" si="43"/>
        <v>0.55847069149528183</v>
      </c>
      <c r="L217" s="33">
        <f t="shared" si="44"/>
        <v>0.58255583574581205</v>
      </c>
      <c r="M217" s="33">
        <f t="shared" si="45"/>
        <v>0.60284380096268531</v>
      </c>
      <c r="N217" s="33">
        <f t="shared" si="46"/>
        <v>0.61733254422991779</v>
      </c>
      <c r="O217" s="33">
        <f t="shared" si="47"/>
        <v>0.6373963895732494</v>
      </c>
    </row>
    <row r="218" spans="1:15" x14ac:dyDescent="0.25">
      <c r="A218" s="2">
        <v>216</v>
      </c>
      <c r="B218" s="33">
        <f>TPR($B$1,$A218,dr)</f>
        <v>0.45585342645692967</v>
      </c>
      <c r="C218" s="33">
        <f>TPR($C$1,$A218,dr)</f>
        <v>0.46618485853819847</v>
      </c>
      <c r="D218" s="33">
        <f t="shared" si="36"/>
        <v>0.47821479102194181</v>
      </c>
      <c r="E218" s="33">
        <f t="shared" si="37"/>
        <v>0.48585939707514331</v>
      </c>
      <c r="F218" s="33">
        <f t="shared" si="38"/>
        <v>0.49220853811563919</v>
      </c>
      <c r="G218" s="33">
        <f t="shared" si="39"/>
        <v>0.50086827087085817</v>
      </c>
      <c r="H218" s="33">
        <f t="shared" si="40"/>
        <v>0.50909805235298256</v>
      </c>
      <c r="I218" s="33">
        <f t="shared" si="41"/>
        <v>0.52446641109394687</v>
      </c>
      <c r="J218" s="33">
        <f t="shared" si="42"/>
        <v>0.53842017133351661</v>
      </c>
      <c r="K218" s="33">
        <f t="shared" si="43"/>
        <v>0.55624910535723449</v>
      </c>
      <c r="L218" s="33">
        <f t="shared" si="44"/>
        <v>0.58043492940931085</v>
      </c>
      <c r="M218" s="33">
        <f t="shared" si="45"/>
        <v>0.6005703664014802</v>
      </c>
      <c r="N218" s="33">
        <f t="shared" si="46"/>
        <v>0.61520164350608675</v>
      </c>
      <c r="O218" s="33">
        <f t="shared" si="47"/>
        <v>0.63534485655811379</v>
      </c>
    </row>
    <row r="219" spans="1:15" x14ac:dyDescent="0.25">
      <c r="A219" s="2">
        <v>217</v>
      </c>
      <c r="B219" s="33">
        <f>TPR($B$1,$A219,dr)</f>
        <v>0.45377590726277989</v>
      </c>
      <c r="C219" s="33">
        <f>TPR($C$1,$A219,dr)</f>
        <v>0.46413733437127269</v>
      </c>
      <c r="D219" s="33">
        <f t="shared" si="36"/>
        <v>0.47622248058546612</v>
      </c>
      <c r="E219" s="33">
        <f t="shared" si="37"/>
        <v>0.48386471700685008</v>
      </c>
      <c r="F219" s="33">
        <f t="shared" si="38"/>
        <v>0.48997626156798207</v>
      </c>
      <c r="G219" s="33">
        <f t="shared" si="39"/>
        <v>0.49862712974922402</v>
      </c>
      <c r="H219" s="33">
        <f t="shared" si="40"/>
        <v>0.50679507454378436</v>
      </c>
      <c r="I219" s="33">
        <f t="shared" si="41"/>
        <v>0.52199543443084662</v>
      </c>
      <c r="J219" s="33">
        <f t="shared" si="42"/>
        <v>0.53610240477173676</v>
      </c>
      <c r="K219" s="33">
        <f t="shared" si="43"/>
        <v>0.55384667633977092</v>
      </c>
      <c r="L219" s="33">
        <f t="shared" si="44"/>
        <v>0.5781760969333064</v>
      </c>
      <c r="M219" s="33">
        <f t="shared" si="45"/>
        <v>0.59854218758841005</v>
      </c>
      <c r="N219" s="33">
        <f t="shared" si="46"/>
        <v>0.61293982504875766</v>
      </c>
      <c r="O219" s="33">
        <f t="shared" si="47"/>
        <v>0.6331113825877821</v>
      </c>
    </row>
    <row r="220" spans="1:15" x14ac:dyDescent="0.25">
      <c r="A220" s="2">
        <v>218</v>
      </c>
      <c r="B220" s="33">
        <f>TPR($B$1,$A220,dr)</f>
        <v>0.45168977952531308</v>
      </c>
      <c r="C220" s="33">
        <f>TPR($C$1,$A220,dr)</f>
        <v>0.46208131766178101</v>
      </c>
      <c r="D220" s="33">
        <f t="shared" si="36"/>
        <v>0.47417604994378015</v>
      </c>
      <c r="E220" s="33">
        <f t="shared" si="37"/>
        <v>0.48177122602359518</v>
      </c>
      <c r="F220" s="33">
        <f t="shared" si="38"/>
        <v>0.48816601032499068</v>
      </c>
      <c r="G220" s="33">
        <f t="shared" si="39"/>
        <v>0.496496397531006</v>
      </c>
      <c r="H220" s="33">
        <f t="shared" si="40"/>
        <v>0.50457352318338999</v>
      </c>
      <c r="I220" s="33">
        <f t="shared" si="41"/>
        <v>0.51982532071685517</v>
      </c>
      <c r="J220" s="33">
        <f t="shared" si="42"/>
        <v>0.53408396014749859</v>
      </c>
      <c r="K220" s="33">
        <f t="shared" si="43"/>
        <v>0.55158847210805151</v>
      </c>
      <c r="L220" s="33">
        <f t="shared" si="44"/>
        <v>0.57601590374189349</v>
      </c>
      <c r="M220" s="33">
        <f t="shared" si="45"/>
        <v>0.59649112759188672</v>
      </c>
      <c r="N220" s="33">
        <f t="shared" si="46"/>
        <v>0.6105294872761069</v>
      </c>
      <c r="O220" s="33">
        <f t="shared" si="47"/>
        <v>0.63123518607741969</v>
      </c>
    </row>
    <row r="221" spans="1:15" x14ac:dyDescent="0.25">
      <c r="A221" s="2">
        <v>219</v>
      </c>
      <c r="B221" s="33">
        <f>TPR($B$1,$A221,dr)</f>
        <v>0.44959503196729922</v>
      </c>
      <c r="C221" s="33">
        <f>TPR($C$1,$A221,dr)</f>
        <v>0.45994164169670859</v>
      </c>
      <c r="D221" s="33">
        <f t="shared" si="36"/>
        <v>0.47200603154651422</v>
      </c>
      <c r="E221" s="33">
        <f t="shared" si="37"/>
        <v>0.47961807847482651</v>
      </c>
      <c r="F221" s="33">
        <f t="shared" si="38"/>
        <v>0.48590633095364644</v>
      </c>
      <c r="G221" s="33">
        <f t="shared" si="39"/>
        <v>0.49412215117801522</v>
      </c>
      <c r="H221" s="33">
        <f t="shared" si="40"/>
        <v>0.50227412241862968</v>
      </c>
      <c r="I221" s="33">
        <f t="shared" si="41"/>
        <v>0.5177854807444382</v>
      </c>
      <c r="J221" s="33">
        <f t="shared" si="42"/>
        <v>0.53206785995825523</v>
      </c>
      <c r="K221" s="33">
        <f t="shared" si="43"/>
        <v>0.54935230342385633</v>
      </c>
      <c r="L221" s="33">
        <f t="shared" si="44"/>
        <v>0.57398003320931601</v>
      </c>
      <c r="M221" s="33">
        <f t="shared" si="45"/>
        <v>0.59418994319477569</v>
      </c>
      <c r="N221" s="33">
        <f t="shared" si="46"/>
        <v>0.60837087784362465</v>
      </c>
      <c r="O221" s="33">
        <f t="shared" si="47"/>
        <v>0.62930687483838632</v>
      </c>
    </row>
    <row r="222" spans="1:15" x14ac:dyDescent="0.25">
      <c r="A222" s="2">
        <v>220</v>
      </c>
      <c r="B222" s="33">
        <f>TPR($B$1,$A222,dr)</f>
        <v>0.44765733295791743</v>
      </c>
      <c r="C222" s="33">
        <f>TPR($C$1,$A222,dr)</f>
        <v>0.45780725690368301</v>
      </c>
      <c r="D222" s="33">
        <f t="shared" si="36"/>
        <v>0.46971054533509315</v>
      </c>
      <c r="E222" s="33">
        <f t="shared" si="37"/>
        <v>0.47747291094328931</v>
      </c>
      <c r="F222" s="33">
        <f t="shared" si="38"/>
        <v>0.48378470067845308</v>
      </c>
      <c r="G222" s="33">
        <f t="shared" si="39"/>
        <v>0.49189794785149804</v>
      </c>
      <c r="H222" s="33">
        <f t="shared" si="40"/>
        <v>0.50012107936880223</v>
      </c>
      <c r="I222" s="33">
        <f t="shared" si="41"/>
        <v>0.51545496083430531</v>
      </c>
      <c r="J222" s="33">
        <f t="shared" si="42"/>
        <v>0.53001778491365936</v>
      </c>
      <c r="K222" s="33">
        <f t="shared" si="43"/>
        <v>0.5473683109379216</v>
      </c>
      <c r="L222" s="33">
        <f t="shared" si="44"/>
        <v>0.57182699153013405</v>
      </c>
      <c r="M222" s="33">
        <f t="shared" si="45"/>
        <v>0.59189311448017701</v>
      </c>
      <c r="N222" s="33">
        <f t="shared" si="46"/>
        <v>0.60634235563413419</v>
      </c>
      <c r="O222" s="33">
        <f t="shared" si="47"/>
        <v>0.62743738274175131</v>
      </c>
    </row>
    <row r="223" spans="1:15" x14ac:dyDescent="0.25">
      <c r="A223" s="2">
        <v>221</v>
      </c>
      <c r="B223" s="33">
        <f>TPR($B$1,$A223,dr)</f>
        <v>0.4455455827251858</v>
      </c>
      <c r="C223" s="33">
        <f>TPR($C$1,$A223,dr)</f>
        <v>0.45557730706739946</v>
      </c>
      <c r="D223" s="33">
        <f t="shared" si="36"/>
        <v>0.46744958376716783</v>
      </c>
      <c r="E223" s="33">
        <f t="shared" si="37"/>
        <v>0.47549468472356576</v>
      </c>
      <c r="F223" s="33">
        <f t="shared" si="38"/>
        <v>0.48195915460883587</v>
      </c>
      <c r="G223" s="33">
        <f t="shared" si="39"/>
        <v>0.48986683594197611</v>
      </c>
      <c r="H223" s="33">
        <f t="shared" si="40"/>
        <v>0.49802810798355401</v>
      </c>
      <c r="I223" s="33">
        <f t="shared" si="41"/>
        <v>0.513224910348555</v>
      </c>
      <c r="J223" s="33">
        <f t="shared" si="42"/>
        <v>0.52768524581741905</v>
      </c>
      <c r="K223" s="33">
        <f t="shared" si="43"/>
        <v>0.54522208789263282</v>
      </c>
      <c r="L223" s="33">
        <f t="shared" si="44"/>
        <v>0.56959751987812557</v>
      </c>
      <c r="M223" s="33">
        <f t="shared" si="45"/>
        <v>0.58970915283046432</v>
      </c>
      <c r="N223" s="33">
        <f t="shared" si="46"/>
        <v>0.60417553932652701</v>
      </c>
      <c r="O223" s="33">
        <f t="shared" si="47"/>
        <v>0.62525581892535131</v>
      </c>
    </row>
    <row r="224" spans="1:15" x14ac:dyDescent="0.25">
      <c r="A224" s="2">
        <v>222</v>
      </c>
      <c r="B224" s="33">
        <f>TPR($B$1,$A224,dr)</f>
        <v>0.44342517906133921</v>
      </c>
      <c r="C224" s="33">
        <f>TPR($C$1,$A224,dr)</f>
        <v>0.45333965238002333</v>
      </c>
      <c r="D224" s="33">
        <f t="shared" si="36"/>
        <v>0.46513340023208016</v>
      </c>
      <c r="E224" s="33">
        <f t="shared" si="37"/>
        <v>0.4733758223609803</v>
      </c>
      <c r="F224" s="33">
        <f t="shared" si="38"/>
        <v>0.4802553646755886</v>
      </c>
      <c r="G224" s="33">
        <f t="shared" si="39"/>
        <v>0.48787338495770988</v>
      </c>
      <c r="H224" s="33">
        <f t="shared" si="40"/>
        <v>0.49592647886299296</v>
      </c>
      <c r="I224" s="33">
        <f t="shared" si="41"/>
        <v>0.51128632500888049</v>
      </c>
      <c r="J224" s="33">
        <f t="shared" si="42"/>
        <v>0.52551458248940008</v>
      </c>
      <c r="K224" s="33">
        <f t="shared" si="43"/>
        <v>0.54291287584315162</v>
      </c>
      <c r="L224" s="33">
        <f t="shared" si="44"/>
        <v>0.56733097401348864</v>
      </c>
      <c r="M224" s="33">
        <f t="shared" si="45"/>
        <v>0.58778171324235795</v>
      </c>
      <c r="N224" s="33">
        <f t="shared" si="46"/>
        <v>0.60188733542649964</v>
      </c>
      <c r="O224" s="33">
        <f t="shared" si="47"/>
        <v>0.62315003550763182</v>
      </c>
    </row>
    <row r="225" spans="1:15" x14ac:dyDescent="0.25">
      <c r="A225" s="2">
        <v>223</v>
      </c>
      <c r="B225" s="33">
        <f>TPR($B$1,$A225,dr)</f>
        <v>0.44129611068914709</v>
      </c>
      <c r="C225" s="33">
        <f>TPR($C$1,$A225,dr)</f>
        <v>0.45131726370486724</v>
      </c>
      <c r="D225" s="33">
        <f t="shared" si="36"/>
        <v>0.4631623594531627</v>
      </c>
      <c r="E225" s="33">
        <f t="shared" si="37"/>
        <v>0.47118815616454168</v>
      </c>
      <c r="F225" s="33">
        <f t="shared" si="38"/>
        <v>0.47796138365192792</v>
      </c>
      <c r="G225" s="33">
        <f t="shared" si="39"/>
        <v>0.48547051450787065</v>
      </c>
      <c r="H225" s="33">
        <f t="shared" si="40"/>
        <v>0.49358543495553098</v>
      </c>
      <c r="I225" s="33">
        <f t="shared" si="41"/>
        <v>0.50919834369342065</v>
      </c>
      <c r="J225" s="33">
        <f t="shared" si="42"/>
        <v>0.52332280859067914</v>
      </c>
      <c r="K225" s="33">
        <f t="shared" si="43"/>
        <v>0.54076428849140123</v>
      </c>
      <c r="L225" s="33">
        <f t="shared" si="44"/>
        <v>0.56527799201989992</v>
      </c>
      <c r="M225" s="33">
        <f t="shared" si="45"/>
        <v>0.58586254992631692</v>
      </c>
      <c r="N225" s="33">
        <f t="shared" si="46"/>
        <v>0.59973262555221851</v>
      </c>
      <c r="O225" s="33">
        <f t="shared" si="47"/>
        <v>0.62092339485752379</v>
      </c>
    </row>
    <row r="226" spans="1:15" x14ac:dyDescent="0.25">
      <c r="A226" s="2">
        <v>224</v>
      </c>
      <c r="B226" s="33">
        <f>TPR($B$1,$A226,dr)</f>
        <v>0.43915836633137956</v>
      </c>
      <c r="C226" s="33">
        <f>TPR($C$1,$A226,dr)</f>
        <v>0.44928590293450382</v>
      </c>
      <c r="D226" s="33">
        <f t="shared" si="36"/>
        <v>0.46118487774336647</v>
      </c>
      <c r="E226" s="33">
        <f t="shared" si="37"/>
        <v>0.46896526122059357</v>
      </c>
      <c r="F226" s="33">
        <f t="shared" si="38"/>
        <v>0.47537076110043613</v>
      </c>
      <c r="G226" s="33">
        <f t="shared" si="39"/>
        <v>0.4833133219915558</v>
      </c>
      <c r="H226" s="33">
        <f t="shared" si="40"/>
        <v>0.49145384508342949</v>
      </c>
      <c r="I226" s="33">
        <f t="shared" si="41"/>
        <v>0.50694530829930373</v>
      </c>
      <c r="J226" s="33">
        <f t="shared" si="42"/>
        <v>0.52096677019399396</v>
      </c>
      <c r="K226" s="33">
        <f t="shared" si="43"/>
        <v>0.53860677551791392</v>
      </c>
      <c r="L226" s="33">
        <f t="shared" si="44"/>
        <v>0.56313251149296262</v>
      </c>
      <c r="M226" s="33">
        <f t="shared" si="45"/>
        <v>0.58368039727907728</v>
      </c>
      <c r="N226" s="33">
        <f t="shared" si="46"/>
        <v>0.59781901732315845</v>
      </c>
      <c r="O226" s="33">
        <f t="shared" si="47"/>
        <v>0.61910544000442436</v>
      </c>
    </row>
    <row r="227" spans="1:15" x14ac:dyDescent="0.25">
      <c r="A227" s="2">
        <v>225</v>
      </c>
      <c r="B227" s="33">
        <f>TPR($B$1,$A227,dr)</f>
        <v>0.4370119347108069</v>
      </c>
      <c r="C227" s="33">
        <f>TPR($C$1,$A227,dr)</f>
        <v>0.44731946693158559</v>
      </c>
      <c r="D227" s="33">
        <f t="shared" si="36"/>
        <v>0.45932064785889831</v>
      </c>
      <c r="E227" s="33">
        <f t="shared" si="37"/>
        <v>0.46678934875282696</v>
      </c>
      <c r="F227" s="33">
        <f t="shared" si="38"/>
        <v>0.4733495419229849</v>
      </c>
      <c r="G227" s="33">
        <f t="shared" si="39"/>
        <v>0.48143743537477807</v>
      </c>
      <c r="H227" s="33">
        <f t="shared" si="40"/>
        <v>0.48955981695078593</v>
      </c>
      <c r="I227" s="33">
        <f t="shared" si="41"/>
        <v>0.50482902174258903</v>
      </c>
      <c r="J227" s="33">
        <f t="shared" si="42"/>
        <v>0.51861849630491252</v>
      </c>
      <c r="K227" s="33">
        <f t="shared" si="43"/>
        <v>0.53645304843226604</v>
      </c>
      <c r="L227" s="33">
        <f t="shared" si="44"/>
        <v>0.56113393828106783</v>
      </c>
      <c r="M227" s="33">
        <f t="shared" si="45"/>
        <v>0.58161649984264152</v>
      </c>
      <c r="N227" s="33">
        <f t="shared" si="46"/>
        <v>0.59577168567260841</v>
      </c>
      <c r="O227" s="33">
        <f t="shared" si="47"/>
        <v>0.61701278360304279</v>
      </c>
    </row>
    <row r="228" spans="1:15" x14ac:dyDescent="0.25">
      <c r="A228" s="2">
        <v>226</v>
      </c>
      <c r="B228" s="33">
        <f>TPR($B$1,$A228,dr)</f>
        <v>0.43485680455019837</v>
      </c>
      <c r="C228" s="33">
        <f>TPR($C$1,$A228,dr)</f>
        <v>0.44512251558204535</v>
      </c>
      <c r="D228" s="33">
        <f t="shared" si="36"/>
        <v>0.45709023784343578</v>
      </c>
      <c r="E228" s="33">
        <f t="shared" si="37"/>
        <v>0.4646161984625149</v>
      </c>
      <c r="F228" s="33">
        <f t="shared" si="38"/>
        <v>0.47146224100995843</v>
      </c>
      <c r="G228" s="33">
        <f t="shared" si="39"/>
        <v>0.47948527918136136</v>
      </c>
      <c r="H228" s="33">
        <f t="shared" si="40"/>
        <v>0.48750058059331963</v>
      </c>
      <c r="I228" s="33">
        <f t="shared" si="41"/>
        <v>0.502572905999495</v>
      </c>
      <c r="J228" s="33">
        <f t="shared" si="42"/>
        <v>0.51638702628502109</v>
      </c>
      <c r="K228" s="33">
        <f t="shared" si="43"/>
        <v>0.53427715050509472</v>
      </c>
      <c r="L228" s="33">
        <f t="shared" si="44"/>
        <v>0.55901319195153742</v>
      </c>
      <c r="M228" s="33">
        <f t="shared" si="45"/>
        <v>0.57954376078204273</v>
      </c>
      <c r="N228" s="33">
        <f t="shared" si="46"/>
        <v>0.59371555708418511</v>
      </c>
      <c r="O228" s="33">
        <f t="shared" si="47"/>
        <v>0.61491023712166781</v>
      </c>
    </row>
    <row r="229" spans="1:15" x14ac:dyDescent="0.25">
      <c r="A229" s="2">
        <v>227</v>
      </c>
      <c r="B229" s="33">
        <f>TPR($B$1,$A229,dr)</f>
        <v>0.43302812432520721</v>
      </c>
      <c r="C229" s="33">
        <f>TPR($C$1,$A229,dr)</f>
        <v>0.4431007336128534</v>
      </c>
      <c r="D229" s="33">
        <f t="shared" si="36"/>
        <v>0.45493585684572779</v>
      </c>
      <c r="E229" s="33">
        <f t="shared" si="37"/>
        <v>0.46270764055078684</v>
      </c>
      <c r="F229" s="33">
        <f t="shared" si="38"/>
        <v>0.46931365658401608</v>
      </c>
      <c r="G229" s="33">
        <f t="shared" si="39"/>
        <v>0.47720669790637754</v>
      </c>
      <c r="H229" s="33">
        <f t="shared" si="40"/>
        <v>0.48536450196901609</v>
      </c>
      <c r="I229" s="33">
        <f t="shared" si="41"/>
        <v>0.50033138894531348</v>
      </c>
      <c r="J229" s="33">
        <f t="shared" si="42"/>
        <v>0.51442648591799511</v>
      </c>
      <c r="K229" s="33">
        <f t="shared" si="43"/>
        <v>0.53209229167109573</v>
      </c>
      <c r="L229" s="33">
        <f t="shared" si="44"/>
        <v>0.55692402593851498</v>
      </c>
      <c r="M229" s="33">
        <f t="shared" si="45"/>
        <v>0.57760586197243435</v>
      </c>
      <c r="N229" s="33">
        <f t="shared" si="46"/>
        <v>0.5916676634346868</v>
      </c>
      <c r="O229" s="33">
        <f t="shared" si="47"/>
        <v>0.61279778678511088</v>
      </c>
    </row>
    <row r="230" spans="1:15" x14ac:dyDescent="0.25">
      <c r="A230" s="2">
        <v>228</v>
      </c>
      <c r="B230" s="33">
        <f>TPR($B$1,$A230,dr)</f>
        <v>0.43102396016704425</v>
      </c>
      <c r="C230" s="33">
        <f>TPR($C$1,$A230,dr)</f>
        <v>0.44105381531869525</v>
      </c>
      <c r="D230" s="33">
        <f t="shared" si="36"/>
        <v>0.45285047329706585</v>
      </c>
      <c r="E230" s="33">
        <f t="shared" si="37"/>
        <v>0.46064260146622615</v>
      </c>
      <c r="F230" s="33">
        <f t="shared" si="38"/>
        <v>0.46714057214722821</v>
      </c>
      <c r="G230" s="33">
        <f t="shared" si="39"/>
        <v>0.4749204862064369</v>
      </c>
      <c r="H230" s="33">
        <f t="shared" si="40"/>
        <v>0.4831342647709207</v>
      </c>
      <c r="I230" s="33">
        <f t="shared" si="41"/>
        <v>0.49837296558349142</v>
      </c>
      <c r="J230" s="33">
        <f t="shared" si="42"/>
        <v>0.51249119263561038</v>
      </c>
      <c r="K230" s="33">
        <f t="shared" si="43"/>
        <v>0.5298984604376743</v>
      </c>
      <c r="L230" s="33">
        <f t="shared" si="44"/>
        <v>0.55478519061680787</v>
      </c>
      <c r="M230" s="33">
        <f t="shared" si="45"/>
        <v>0.57552730063332136</v>
      </c>
      <c r="N230" s="33">
        <f t="shared" si="46"/>
        <v>0.58973198945829741</v>
      </c>
      <c r="O230" s="33">
        <f t="shared" si="47"/>
        <v>0.61071062663321196</v>
      </c>
    </row>
    <row r="231" spans="1:15" x14ac:dyDescent="0.25">
      <c r="A231" s="2">
        <v>229</v>
      </c>
      <c r="B231" s="33">
        <f>TPR($B$1,$A231,dr)</f>
        <v>0.42917973400289472</v>
      </c>
      <c r="C231" s="33">
        <f>TPR($C$1,$A231,dr)</f>
        <v>0.43916494095091124</v>
      </c>
      <c r="D231" s="33">
        <f t="shared" si="36"/>
        <v>0.45087883668495765</v>
      </c>
      <c r="E231" s="33">
        <f t="shared" si="37"/>
        <v>0.45858133185288158</v>
      </c>
      <c r="F231" s="33">
        <f t="shared" si="38"/>
        <v>0.46510230006298503</v>
      </c>
      <c r="G231" s="33">
        <f t="shared" si="39"/>
        <v>0.47289867556656817</v>
      </c>
      <c r="H231" s="33">
        <f t="shared" si="40"/>
        <v>0.48096872887221703</v>
      </c>
      <c r="I231" s="33">
        <f t="shared" si="41"/>
        <v>0.49623681374651213</v>
      </c>
      <c r="J231" s="33">
        <f t="shared" si="42"/>
        <v>0.51025083907055868</v>
      </c>
      <c r="K231" s="33">
        <f t="shared" si="43"/>
        <v>0.52754953398324822</v>
      </c>
      <c r="L231" s="33">
        <f t="shared" si="44"/>
        <v>0.55263746748042075</v>
      </c>
      <c r="M231" s="33">
        <f t="shared" si="45"/>
        <v>0.57342821833740598</v>
      </c>
      <c r="N231" s="33">
        <f t="shared" si="46"/>
        <v>0.58764965090281884</v>
      </c>
      <c r="O231" s="33">
        <f t="shared" si="47"/>
        <v>0.60892534908105089</v>
      </c>
    </row>
    <row r="232" spans="1:15" x14ac:dyDescent="0.25">
      <c r="A232" s="2">
        <v>230</v>
      </c>
      <c r="B232" s="33">
        <f>TPR($B$1,$A232,dr)</f>
        <v>0.42715945842824721</v>
      </c>
      <c r="C232" s="33">
        <f>TPR($C$1,$A232,dr)</f>
        <v>0.43717583510161279</v>
      </c>
      <c r="D232" s="33">
        <f t="shared" si="36"/>
        <v>0.44894138499716968</v>
      </c>
      <c r="E232" s="33">
        <f t="shared" si="37"/>
        <v>0.45667453443357708</v>
      </c>
      <c r="F232" s="33">
        <f t="shared" si="38"/>
        <v>0.46321730403665767</v>
      </c>
      <c r="G232" s="33">
        <f t="shared" si="39"/>
        <v>0.47080721062260378</v>
      </c>
      <c r="H232" s="33">
        <f t="shared" si="40"/>
        <v>0.47879912333737096</v>
      </c>
      <c r="I232" s="33">
        <f t="shared" si="41"/>
        <v>0.49425202223155146</v>
      </c>
      <c r="J232" s="33">
        <f t="shared" si="42"/>
        <v>0.50816076672203825</v>
      </c>
      <c r="K232" s="33">
        <f t="shared" si="43"/>
        <v>0.52533696940554375</v>
      </c>
      <c r="L232" s="33">
        <f t="shared" si="44"/>
        <v>0.55048084513240225</v>
      </c>
      <c r="M232" s="33">
        <f t="shared" si="45"/>
        <v>0.57132024865602504</v>
      </c>
      <c r="N232" s="33">
        <f t="shared" si="46"/>
        <v>0.58555846999367756</v>
      </c>
      <c r="O232" s="33">
        <f t="shared" si="47"/>
        <v>0.60698007657500397</v>
      </c>
    </row>
    <row r="233" spans="1:15" x14ac:dyDescent="0.25">
      <c r="A233" s="2">
        <v>231</v>
      </c>
      <c r="B233" s="33">
        <f>TPR($B$1,$A233,dr)</f>
        <v>0.42529964563846268</v>
      </c>
      <c r="C233" s="33">
        <f>TPR($C$1,$A233,dr)</f>
        <v>0.43512692772027123</v>
      </c>
      <c r="D233" s="33">
        <f t="shared" si="36"/>
        <v>0.44670796399854212</v>
      </c>
      <c r="E233" s="33">
        <f t="shared" si="37"/>
        <v>0.45459673131170403</v>
      </c>
      <c r="F233" s="33">
        <f t="shared" si="38"/>
        <v>0.46116265232158254</v>
      </c>
      <c r="G233" s="33">
        <f t="shared" si="39"/>
        <v>0.46877026066064648</v>
      </c>
      <c r="H233" s="33">
        <f t="shared" si="40"/>
        <v>0.47670107758506319</v>
      </c>
      <c r="I233" s="33">
        <f t="shared" si="41"/>
        <v>0.49226992636054512</v>
      </c>
      <c r="J233" s="33">
        <f t="shared" si="42"/>
        <v>0.50620179348496752</v>
      </c>
      <c r="K233" s="33">
        <f t="shared" si="43"/>
        <v>0.52326301741492032</v>
      </c>
      <c r="L233" s="33">
        <f t="shared" si="44"/>
        <v>0.5483153121757991</v>
      </c>
      <c r="M233" s="33">
        <f t="shared" si="45"/>
        <v>0.56921303054363948</v>
      </c>
      <c r="N233" s="33">
        <f t="shared" si="46"/>
        <v>0.58359467953538524</v>
      </c>
      <c r="O233" s="33">
        <f t="shared" si="47"/>
        <v>0.60514108916117793</v>
      </c>
    </row>
    <row r="234" spans="1:15" x14ac:dyDescent="0.25">
      <c r="A234" s="2">
        <v>232</v>
      </c>
      <c r="B234" s="33">
        <f>TPR($B$1,$A234,dr)</f>
        <v>0.42326321707636461</v>
      </c>
      <c r="C234" s="33">
        <f>TPR($C$1,$A234,dr)</f>
        <v>0.43297765789154674</v>
      </c>
      <c r="D234" s="33">
        <f t="shared" si="36"/>
        <v>0.44450543846638163</v>
      </c>
      <c r="E234" s="33">
        <f t="shared" si="37"/>
        <v>0.45266435685830669</v>
      </c>
      <c r="F234" s="33">
        <f t="shared" si="38"/>
        <v>0.45912072009705945</v>
      </c>
      <c r="G234" s="33">
        <f t="shared" si="39"/>
        <v>0.46672503269461912</v>
      </c>
      <c r="H234" s="33">
        <f t="shared" si="40"/>
        <v>0.4746754236660875</v>
      </c>
      <c r="I234" s="33">
        <f t="shared" si="41"/>
        <v>0.49012947757226188</v>
      </c>
      <c r="J234" s="33">
        <f t="shared" si="42"/>
        <v>0.50421412932207954</v>
      </c>
      <c r="K234" s="33">
        <f t="shared" si="43"/>
        <v>0.52146909991225621</v>
      </c>
      <c r="L234" s="33">
        <f t="shared" si="44"/>
        <v>0.54602274754923541</v>
      </c>
      <c r="M234" s="33">
        <f t="shared" si="45"/>
        <v>0.56709590072809934</v>
      </c>
      <c r="N234" s="33">
        <f t="shared" si="46"/>
        <v>0.58162122520765036</v>
      </c>
      <c r="O234" s="33">
        <f t="shared" si="47"/>
        <v>0.60317609612788137</v>
      </c>
    </row>
    <row r="235" spans="1:15" x14ac:dyDescent="0.25">
      <c r="A235" s="2">
        <v>233</v>
      </c>
      <c r="B235" s="33">
        <f>TPR($B$1,$A235,dr)</f>
        <v>0.42138777697446755</v>
      </c>
      <c r="C235" s="33">
        <f>TPR($C$1,$A235,dr)</f>
        <v>0.43098789597794834</v>
      </c>
      <c r="D235" s="33">
        <f t="shared" si="36"/>
        <v>0.44237684404248812</v>
      </c>
      <c r="E235" s="33">
        <f t="shared" si="37"/>
        <v>0.45056147643939237</v>
      </c>
      <c r="F235" s="33">
        <f t="shared" si="38"/>
        <v>0.45690941966720744</v>
      </c>
      <c r="G235" s="33">
        <f t="shared" si="39"/>
        <v>0.46451004967538562</v>
      </c>
      <c r="H235" s="33">
        <f t="shared" si="40"/>
        <v>0.47255924039172409</v>
      </c>
      <c r="I235" s="33">
        <f t="shared" si="41"/>
        <v>0.48811265287251243</v>
      </c>
      <c r="J235" s="33">
        <f t="shared" si="42"/>
        <v>0.50196315804323322</v>
      </c>
      <c r="K235" s="33">
        <f t="shared" si="43"/>
        <v>0.51968041141919208</v>
      </c>
      <c r="L235" s="33">
        <f t="shared" si="44"/>
        <v>0.54387710010117785</v>
      </c>
      <c r="M235" s="33">
        <f t="shared" si="45"/>
        <v>0.56511704072995428</v>
      </c>
      <c r="N235" s="33">
        <f t="shared" si="46"/>
        <v>0.57965902283981996</v>
      </c>
      <c r="O235" s="33">
        <f t="shared" si="47"/>
        <v>0.60112495033501534</v>
      </c>
    </row>
    <row r="236" spans="1:15" x14ac:dyDescent="0.25">
      <c r="A236" s="2">
        <v>234</v>
      </c>
      <c r="B236" s="33">
        <f>TPR($B$1,$A236,dr)</f>
        <v>0.4195046447954125</v>
      </c>
      <c r="C236" s="33">
        <f>TPR($C$1,$A236,dr)</f>
        <v>0.42913542173439689</v>
      </c>
      <c r="D236" s="33">
        <f t="shared" si="36"/>
        <v>0.44053042904351541</v>
      </c>
      <c r="E236" s="33">
        <f t="shared" si="37"/>
        <v>0.44860662627191766</v>
      </c>
      <c r="F236" s="33">
        <f t="shared" si="38"/>
        <v>0.45471300068370613</v>
      </c>
      <c r="G236" s="33">
        <f t="shared" si="39"/>
        <v>0.46228624933375234</v>
      </c>
      <c r="H236" s="33">
        <f t="shared" si="40"/>
        <v>0.47043282841401118</v>
      </c>
      <c r="I236" s="33">
        <f t="shared" si="41"/>
        <v>0.4857945421695648</v>
      </c>
      <c r="J236" s="33">
        <f t="shared" si="42"/>
        <v>0.49979902582938651</v>
      </c>
      <c r="K236" s="33">
        <f t="shared" si="43"/>
        <v>0.51776194481100479</v>
      </c>
      <c r="L236" s="33">
        <f t="shared" si="44"/>
        <v>0.54204175665829157</v>
      </c>
      <c r="M236" s="33">
        <f t="shared" si="45"/>
        <v>0.56297265363045845</v>
      </c>
      <c r="N236" s="33">
        <f t="shared" si="46"/>
        <v>0.57753180684131455</v>
      </c>
      <c r="O236" s="33">
        <f t="shared" si="47"/>
        <v>0.59906500477220115</v>
      </c>
    </row>
    <row r="237" spans="1:15" x14ac:dyDescent="0.25">
      <c r="A237" s="2">
        <v>235</v>
      </c>
      <c r="B237" s="33">
        <f>TPR($B$1,$A237,dr)</f>
        <v>0.41778357542393901</v>
      </c>
      <c r="C237" s="33">
        <f>TPR($C$1,$A237,dr)</f>
        <v>0.42744266519553725</v>
      </c>
      <c r="D237" s="33">
        <f t="shared" si="36"/>
        <v>0.43876374738952012</v>
      </c>
      <c r="E237" s="33">
        <f t="shared" si="37"/>
        <v>0.44650570442942783</v>
      </c>
      <c r="F237" s="33">
        <f t="shared" si="38"/>
        <v>0.45276693897014353</v>
      </c>
      <c r="G237" s="33">
        <f t="shared" si="39"/>
        <v>0.46026938518914851</v>
      </c>
      <c r="H237" s="33">
        <f t="shared" si="40"/>
        <v>0.46838040061540515</v>
      </c>
      <c r="I237" s="33">
        <f t="shared" si="41"/>
        <v>0.48363425108931934</v>
      </c>
      <c r="J237" s="33">
        <f t="shared" si="42"/>
        <v>0.49792100931635785</v>
      </c>
      <c r="K237" s="33">
        <f t="shared" si="43"/>
        <v>0.51553312793860051</v>
      </c>
      <c r="L237" s="33">
        <f t="shared" si="44"/>
        <v>0.54016344109352565</v>
      </c>
      <c r="M237" s="33">
        <f t="shared" si="45"/>
        <v>0.56067725904915011</v>
      </c>
      <c r="N237" s="33">
        <f t="shared" si="46"/>
        <v>0.5755080989878808</v>
      </c>
      <c r="O237" s="33">
        <f t="shared" si="47"/>
        <v>0.59715236362730761</v>
      </c>
    </row>
    <row r="238" spans="1:15" x14ac:dyDescent="0.25">
      <c r="A238" s="2">
        <v>236</v>
      </c>
      <c r="B238" s="33">
        <f>TPR($B$1,$A238,dr)</f>
        <v>0.41571526440384066</v>
      </c>
      <c r="C238" s="33">
        <f>TPR($C$1,$A238,dr)</f>
        <v>0.42547926856261303</v>
      </c>
      <c r="D238" s="33">
        <f t="shared" si="36"/>
        <v>0.43694405260255309</v>
      </c>
      <c r="E238" s="33">
        <f t="shared" si="37"/>
        <v>0.44471671724165296</v>
      </c>
      <c r="F238" s="33">
        <f t="shared" si="38"/>
        <v>0.45099858668160242</v>
      </c>
      <c r="G238" s="33">
        <f t="shared" si="39"/>
        <v>0.45851573911383764</v>
      </c>
      <c r="H238" s="33">
        <f t="shared" si="40"/>
        <v>0.46641377400587486</v>
      </c>
      <c r="I238" s="33">
        <f t="shared" si="41"/>
        <v>0.48161644796046771</v>
      </c>
      <c r="J238" s="33">
        <f t="shared" si="42"/>
        <v>0.49605594824209187</v>
      </c>
      <c r="K238" s="33">
        <f t="shared" si="43"/>
        <v>0.51329220934998043</v>
      </c>
      <c r="L238" s="33">
        <f t="shared" si="44"/>
        <v>0.53835506292306678</v>
      </c>
      <c r="M238" s="33">
        <f t="shared" si="45"/>
        <v>0.55867130729284697</v>
      </c>
      <c r="N238" s="33">
        <f t="shared" si="46"/>
        <v>0.57351914001134929</v>
      </c>
      <c r="O238" s="33">
        <f t="shared" si="47"/>
        <v>0.59526833740414731</v>
      </c>
    </row>
    <row r="239" spans="1:15" x14ac:dyDescent="0.25">
      <c r="A239" s="2">
        <v>237</v>
      </c>
      <c r="B239" s="33">
        <f>TPR($B$1,$A239,dr)</f>
        <v>0.41380899629032952</v>
      </c>
      <c r="C239" s="33">
        <f>TPR($C$1,$A239,dr)</f>
        <v>0.42353240290584171</v>
      </c>
      <c r="D239" s="33">
        <f t="shared" si="36"/>
        <v>0.43495074885258972</v>
      </c>
      <c r="E239" s="33">
        <f t="shared" si="37"/>
        <v>0.44276253545296074</v>
      </c>
      <c r="F239" s="33">
        <f t="shared" si="38"/>
        <v>0.44919845237836803</v>
      </c>
      <c r="G239" s="33">
        <f t="shared" si="39"/>
        <v>0.45654067682407123</v>
      </c>
      <c r="H239" s="33">
        <f t="shared" si="40"/>
        <v>0.46434743575821114</v>
      </c>
      <c r="I239" s="33">
        <f t="shared" si="41"/>
        <v>0.47973667025061612</v>
      </c>
      <c r="J239" s="33">
        <f t="shared" si="42"/>
        <v>0.49406988824290249</v>
      </c>
      <c r="K239" s="33">
        <f t="shared" si="43"/>
        <v>0.51117130561422863</v>
      </c>
      <c r="L239" s="33">
        <f t="shared" si="44"/>
        <v>0.53628803757783872</v>
      </c>
      <c r="M239" s="33">
        <f t="shared" si="45"/>
        <v>0.55711053971943492</v>
      </c>
      <c r="N239" s="33">
        <f t="shared" si="46"/>
        <v>0.57159237896740056</v>
      </c>
      <c r="O239" s="33">
        <f t="shared" si="47"/>
        <v>0.59345871709045173</v>
      </c>
    </row>
    <row r="240" spans="1:15" x14ac:dyDescent="0.25">
      <c r="A240" s="2">
        <v>238</v>
      </c>
      <c r="B240" s="33">
        <f>TPR($B$1,$A240,dr)</f>
        <v>0.41155382061107243</v>
      </c>
      <c r="C240" s="33">
        <f>TPR($C$1,$A240,dr)</f>
        <v>0.42145556806803797</v>
      </c>
      <c r="D240" s="33">
        <f t="shared" si="36"/>
        <v>0.43311579506255415</v>
      </c>
      <c r="E240" s="33">
        <f t="shared" si="37"/>
        <v>0.44095153328872599</v>
      </c>
      <c r="F240" s="33">
        <f t="shared" si="38"/>
        <v>0.44727617363275779</v>
      </c>
      <c r="G240" s="33">
        <f t="shared" si="39"/>
        <v>0.45450433072881458</v>
      </c>
      <c r="H240" s="33">
        <f t="shared" si="40"/>
        <v>0.46234765825244339</v>
      </c>
      <c r="I240" s="33">
        <f t="shared" si="41"/>
        <v>0.47785020568537789</v>
      </c>
      <c r="J240" s="33">
        <f t="shared" si="42"/>
        <v>0.49207699552963147</v>
      </c>
      <c r="K240" s="33">
        <f t="shared" si="43"/>
        <v>0.50919577470359911</v>
      </c>
      <c r="L240" s="33">
        <f t="shared" si="44"/>
        <v>0.5341360387271481</v>
      </c>
      <c r="M240" s="33">
        <f t="shared" si="45"/>
        <v>0.55523576345206993</v>
      </c>
      <c r="N240" s="33">
        <f t="shared" si="46"/>
        <v>0.56947929138059783</v>
      </c>
      <c r="O240" s="33">
        <f t="shared" si="47"/>
        <v>0.59132822347973735</v>
      </c>
    </row>
    <row r="241" spans="1:15" x14ac:dyDescent="0.25">
      <c r="A241" s="2">
        <v>239</v>
      </c>
      <c r="B241" s="33">
        <f>TPR($B$1,$A241,dr)</f>
        <v>0.4094606666106746</v>
      </c>
      <c r="C241" s="33">
        <f>TPR($C$1,$A241,dr)</f>
        <v>0.41946661073649594</v>
      </c>
      <c r="D241" s="33">
        <f t="shared" si="36"/>
        <v>0.43123525975805882</v>
      </c>
      <c r="E241" s="33">
        <f t="shared" si="37"/>
        <v>0.43896305363526195</v>
      </c>
      <c r="F241" s="33">
        <f t="shared" si="38"/>
        <v>0.4450452960921229</v>
      </c>
      <c r="G241" s="33">
        <f t="shared" si="39"/>
        <v>0.4524530036016271</v>
      </c>
      <c r="H241" s="33">
        <f t="shared" si="40"/>
        <v>0.46042626782781387</v>
      </c>
      <c r="I241" s="33">
        <f t="shared" si="41"/>
        <v>0.47595131851271133</v>
      </c>
      <c r="J241" s="33">
        <f t="shared" si="42"/>
        <v>0.48994215325523338</v>
      </c>
      <c r="K241" s="33">
        <f t="shared" si="43"/>
        <v>0.50737921816325637</v>
      </c>
      <c r="L241" s="33">
        <f t="shared" si="44"/>
        <v>0.53218208506731546</v>
      </c>
      <c r="M241" s="33">
        <f t="shared" si="45"/>
        <v>0.55320229845550062</v>
      </c>
      <c r="N241" s="33">
        <f t="shared" si="46"/>
        <v>0.56733503192414581</v>
      </c>
      <c r="O241" s="33">
        <f t="shared" si="47"/>
        <v>0.58922546179797597</v>
      </c>
    </row>
    <row r="242" spans="1:15" x14ac:dyDescent="0.25">
      <c r="A242" s="2">
        <v>240</v>
      </c>
      <c r="B242" s="33">
        <f>TPR($B$1,$A242,dr)</f>
        <v>0.40718807276816349</v>
      </c>
      <c r="C242" s="33">
        <f>TPR($C$1,$A242,dr)</f>
        <v>0.41751255170811979</v>
      </c>
      <c r="D242" s="33">
        <f t="shared" si="36"/>
        <v>0.42960639445423299</v>
      </c>
      <c r="E242" s="33">
        <f t="shared" si="37"/>
        <v>0.4369794000351902</v>
      </c>
      <c r="F242" s="33">
        <f t="shared" si="38"/>
        <v>0.44308364039842535</v>
      </c>
      <c r="G242" s="33">
        <f t="shared" si="39"/>
        <v>0.45061172631694579</v>
      </c>
      <c r="H242" s="33">
        <f t="shared" si="40"/>
        <v>0.45865963091556095</v>
      </c>
      <c r="I242" s="33">
        <f t="shared" si="41"/>
        <v>0.47390083514881048</v>
      </c>
      <c r="J242" s="33">
        <f t="shared" si="42"/>
        <v>0.48804477941635205</v>
      </c>
      <c r="K242" s="33">
        <f t="shared" si="43"/>
        <v>0.50539648744198828</v>
      </c>
      <c r="L242" s="33">
        <f t="shared" si="44"/>
        <v>0.5300978896662385</v>
      </c>
      <c r="M242" s="33">
        <f t="shared" si="45"/>
        <v>0.55117669950192094</v>
      </c>
      <c r="N242" s="33">
        <f t="shared" si="46"/>
        <v>0.56558099644186721</v>
      </c>
      <c r="O242" s="33">
        <f t="shared" si="47"/>
        <v>0.58742856653805908</v>
      </c>
    </row>
    <row r="243" spans="1:15" x14ac:dyDescent="0.25">
      <c r="A243" s="2">
        <v>241</v>
      </c>
      <c r="B243" s="33">
        <f>TPR($B$1,$A243,dr)</f>
        <v>0.40507802849107183</v>
      </c>
      <c r="C243" s="33">
        <f>TPR($C$1,$A243,dr)</f>
        <v>0.4156464529249409</v>
      </c>
      <c r="D243" s="33">
        <f t="shared" si="36"/>
        <v>0.42801063790708294</v>
      </c>
      <c r="E243" s="33">
        <f t="shared" si="37"/>
        <v>0.43515353799682222</v>
      </c>
      <c r="F243" s="33">
        <f t="shared" si="38"/>
        <v>0.44127854904526209</v>
      </c>
      <c r="G243" s="33">
        <f t="shared" si="39"/>
        <v>0.44882022742661759</v>
      </c>
      <c r="H243" s="33">
        <f t="shared" si="40"/>
        <v>0.45681299897176592</v>
      </c>
      <c r="I243" s="33">
        <f t="shared" si="41"/>
        <v>0.47199818496200119</v>
      </c>
      <c r="J243" s="33">
        <f t="shared" si="42"/>
        <v>0.48616496072901882</v>
      </c>
      <c r="K243" s="33">
        <f t="shared" si="43"/>
        <v>0.50325609062562138</v>
      </c>
      <c r="L243" s="33">
        <f t="shared" si="44"/>
        <v>0.52816424387978245</v>
      </c>
      <c r="M243" s="33">
        <f t="shared" si="45"/>
        <v>0.54929021138151168</v>
      </c>
      <c r="N243" s="33">
        <f t="shared" si="46"/>
        <v>0.56371082622233215</v>
      </c>
      <c r="O243" s="33">
        <f t="shared" si="47"/>
        <v>0.58565897498891206</v>
      </c>
    </row>
    <row r="244" spans="1:15" x14ac:dyDescent="0.25">
      <c r="A244" s="2">
        <v>242</v>
      </c>
      <c r="B244" s="33">
        <f>TPR($B$1,$A244,dr)</f>
        <v>0.40330303711016041</v>
      </c>
      <c r="C244" s="33">
        <f>TPR($C$1,$A244,dr)</f>
        <v>0.41382808439135577</v>
      </c>
      <c r="D244" s="33">
        <f t="shared" si="36"/>
        <v>0.4261489031754791</v>
      </c>
      <c r="E244" s="33">
        <f t="shared" si="37"/>
        <v>0.43332449777367099</v>
      </c>
      <c r="F244" s="33">
        <f t="shared" si="38"/>
        <v>0.43960294490465474</v>
      </c>
      <c r="G244" s="33">
        <f t="shared" si="39"/>
        <v>0.44697681868763234</v>
      </c>
      <c r="H244" s="33">
        <f t="shared" si="40"/>
        <v>0.45486938253238152</v>
      </c>
      <c r="I244" s="33">
        <f t="shared" si="41"/>
        <v>0.47024568310395792</v>
      </c>
      <c r="J244" s="33">
        <f t="shared" si="42"/>
        <v>0.4843046925772026</v>
      </c>
      <c r="K244" s="33">
        <f t="shared" si="43"/>
        <v>0.50111017778585165</v>
      </c>
      <c r="L244" s="33">
        <f t="shared" si="44"/>
        <v>0.5263467435146677</v>
      </c>
      <c r="M244" s="33">
        <f t="shared" si="45"/>
        <v>0.54739571261009334</v>
      </c>
      <c r="N244" s="33">
        <f t="shared" si="46"/>
        <v>0.56183268608720882</v>
      </c>
      <c r="O244" s="33">
        <f t="shared" si="47"/>
        <v>0.58368809784603404</v>
      </c>
    </row>
    <row r="245" spans="1:15" x14ac:dyDescent="0.25">
      <c r="A245" s="2">
        <v>243</v>
      </c>
      <c r="B245" s="33">
        <f>TPR($B$1,$A245,dr)</f>
        <v>0.40152081409639251</v>
      </c>
      <c r="C245" s="33">
        <f>TPR($C$1,$A245,dr)</f>
        <v>0.41193293869566128</v>
      </c>
      <c r="D245" s="33">
        <f t="shared" si="36"/>
        <v>0.42414847461702687</v>
      </c>
      <c r="E245" s="33">
        <f t="shared" si="37"/>
        <v>0.43147943767002661</v>
      </c>
      <c r="F245" s="33">
        <f t="shared" si="38"/>
        <v>0.43764619863251969</v>
      </c>
      <c r="G245" s="33">
        <f t="shared" si="39"/>
        <v>0.44511159279277085</v>
      </c>
      <c r="H245" s="33">
        <f t="shared" si="40"/>
        <v>0.45301004432465086</v>
      </c>
      <c r="I245" s="33">
        <f t="shared" si="41"/>
        <v>0.46848697149370755</v>
      </c>
      <c r="J245" s="33">
        <f t="shared" si="42"/>
        <v>0.48243806493023361</v>
      </c>
      <c r="K245" s="33">
        <f t="shared" si="43"/>
        <v>0.49910673023024527</v>
      </c>
      <c r="L245" s="33">
        <f t="shared" si="44"/>
        <v>0.52443244407672529</v>
      </c>
      <c r="M245" s="33">
        <f t="shared" si="45"/>
        <v>0.54564897234344278</v>
      </c>
      <c r="N245" s="33">
        <f t="shared" si="46"/>
        <v>0.55997405268018496</v>
      </c>
      <c r="O245" s="33">
        <f t="shared" si="47"/>
        <v>0.5815507029787873</v>
      </c>
    </row>
    <row r="246" spans="1:15" x14ac:dyDescent="0.25">
      <c r="A246" s="2">
        <v>244</v>
      </c>
      <c r="B246" s="33">
        <f>TPR($B$1,$A246,dr)</f>
        <v>0.39990358999236303</v>
      </c>
      <c r="C246" s="33">
        <f>TPR($C$1,$A246,dr)</f>
        <v>0.41027112358968809</v>
      </c>
      <c r="D246" s="33">
        <f t="shared" si="36"/>
        <v>0.4224027903292083</v>
      </c>
      <c r="E246" s="33">
        <f t="shared" si="37"/>
        <v>0.42963118031845021</v>
      </c>
      <c r="F246" s="33">
        <f t="shared" si="38"/>
        <v>0.43581892072001205</v>
      </c>
      <c r="G246" s="33">
        <f t="shared" si="39"/>
        <v>0.44329862754901916</v>
      </c>
      <c r="H246" s="33">
        <f t="shared" si="40"/>
        <v>0.45114483905948477</v>
      </c>
      <c r="I246" s="33">
        <f t="shared" si="41"/>
        <v>0.46656258590802502</v>
      </c>
      <c r="J246" s="33">
        <f t="shared" si="42"/>
        <v>0.48053648817972305</v>
      </c>
      <c r="K246" s="33">
        <f t="shared" si="43"/>
        <v>0.49725267763392411</v>
      </c>
      <c r="L246" s="33">
        <f t="shared" si="44"/>
        <v>0.52250938512544021</v>
      </c>
      <c r="M246" s="33">
        <f t="shared" si="45"/>
        <v>0.54389264981803476</v>
      </c>
      <c r="N246" s="33">
        <f t="shared" si="46"/>
        <v>0.55797776114047604</v>
      </c>
      <c r="O246" s="33">
        <f t="shared" si="47"/>
        <v>0.57972113815126891</v>
      </c>
    </row>
    <row r="247" spans="1:15" x14ac:dyDescent="0.25">
      <c r="A247" s="2">
        <v>245</v>
      </c>
      <c r="B247" s="33">
        <f>TPR($B$1,$A247,dr)</f>
        <v>0.39793463602176427</v>
      </c>
      <c r="C247" s="33">
        <f>TPR($C$1,$A247,dr)</f>
        <v>0.40840238376496957</v>
      </c>
      <c r="D247" s="33">
        <f t="shared" si="36"/>
        <v>0.42065083155761035</v>
      </c>
      <c r="E247" s="33">
        <f t="shared" si="37"/>
        <v>0.42777811851805636</v>
      </c>
      <c r="F247" s="33">
        <f t="shared" si="38"/>
        <v>0.43411983053015435</v>
      </c>
      <c r="G247" s="33">
        <f t="shared" si="39"/>
        <v>0.44133553180986945</v>
      </c>
      <c r="H247" s="33">
        <f t="shared" si="40"/>
        <v>0.4491553010362756</v>
      </c>
      <c r="I247" s="33">
        <f t="shared" si="41"/>
        <v>0.46462780273373522</v>
      </c>
      <c r="J247" s="33">
        <f t="shared" si="42"/>
        <v>0.47849456945789154</v>
      </c>
      <c r="K247" s="33">
        <f t="shared" si="43"/>
        <v>0.49538943487015791</v>
      </c>
      <c r="L247" s="33">
        <f t="shared" si="44"/>
        <v>0.52041747738718269</v>
      </c>
      <c r="M247" s="33">
        <f t="shared" si="45"/>
        <v>0.5419735306562723</v>
      </c>
      <c r="N247" s="33">
        <f t="shared" si="46"/>
        <v>0.55594680372069016</v>
      </c>
      <c r="O247" s="33">
        <f t="shared" si="47"/>
        <v>0.57816714116842793</v>
      </c>
    </row>
    <row r="248" spans="1:15" x14ac:dyDescent="0.25">
      <c r="A248" s="2">
        <v>246</v>
      </c>
      <c r="B248" s="33">
        <f>TPR($B$1,$A248,dr)</f>
        <v>0.39613066238664257</v>
      </c>
      <c r="C248" s="33">
        <f>TPR($C$1,$A248,dr)</f>
        <v>0.40662637049235051</v>
      </c>
      <c r="D248" s="33">
        <f t="shared" si="36"/>
        <v>0.41896347566307435</v>
      </c>
      <c r="E248" s="33">
        <f t="shared" si="37"/>
        <v>0.42624424785327186</v>
      </c>
      <c r="F248" s="33">
        <f t="shared" si="38"/>
        <v>0.43233849719836148</v>
      </c>
      <c r="G248" s="33">
        <f t="shared" si="39"/>
        <v>0.43950982982202341</v>
      </c>
      <c r="H248" s="33">
        <f t="shared" si="40"/>
        <v>0.44727561705091284</v>
      </c>
      <c r="I248" s="33">
        <f t="shared" si="41"/>
        <v>0.46268208234657954</v>
      </c>
      <c r="J248" s="33">
        <f t="shared" si="42"/>
        <v>0.47618134303414827</v>
      </c>
      <c r="K248" s="33">
        <f t="shared" si="43"/>
        <v>0.49352061040563888</v>
      </c>
      <c r="L248" s="33">
        <f t="shared" si="44"/>
        <v>0.51831627985754425</v>
      </c>
      <c r="M248" s="33">
        <f t="shared" si="45"/>
        <v>0.54004738643061367</v>
      </c>
      <c r="N248" s="33">
        <f t="shared" si="46"/>
        <v>0.55390865946294943</v>
      </c>
      <c r="O248" s="33">
        <f t="shared" si="47"/>
        <v>0.57641465787331714</v>
      </c>
    </row>
    <row r="249" spans="1:15" x14ac:dyDescent="0.25">
      <c r="A249" s="2">
        <v>247</v>
      </c>
      <c r="B249" s="33">
        <f>TPR($B$1,$A249,dr)</f>
        <v>0.39414635116205399</v>
      </c>
      <c r="C249" s="33">
        <f>TPR($C$1,$A249,dr)</f>
        <v>0.40474183150599036</v>
      </c>
      <c r="D249" s="33">
        <f t="shared" si="36"/>
        <v>0.4172332547109936</v>
      </c>
      <c r="E249" s="33">
        <f t="shared" si="37"/>
        <v>0.4245387171417373</v>
      </c>
      <c r="F249" s="33">
        <f t="shared" si="38"/>
        <v>0.43038644501650308</v>
      </c>
      <c r="G249" s="33">
        <f t="shared" si="39"/>
        <v>0.43771420989357962</v>
      </c>
      <c r="H249" s="33">
        <f t="shared" si="40"/>
        <v>0.44555443664748112</v>
      </c>
      <c r="I249" s="33">
        <f t="shared" si="41"/>
        <v>0.46073641239608176</v>
      </c>
      <c r="J249" s="33">
        <f t="shared" si="42"/>
        <v>0.47425825533302968</v>
      </c>
      <c r="K249" s="33">
        <f t="shared" si="43"/>
        <v>0.49196898403481409</v>
      </c>
      <c r="L249" s="33">
        <f t="shared" si="44"/>
        <v>0.51642688052116725</v>
      </c>
      <c r="M249" s="33">
        <f t="shared" si="45"/>
        <v>0.53795845421167499</v>
      </c>
      <c r="N249" s="33">
        <f t="shared" si="46"/>
        <v>0.55209270005787792</v>
      </c>
      <c r="O249" s="33">
        <f t="shared" si="47"/>
        <v>0.57456313804978665</v>
      </c>
    </row>
    <row r="250" spans="1:15" x14ac:dyDescent="0.25">
      <c r="A250" s="2">
        <v>248</v>
      </c>
      <c r="B250" s="33">
        <f>TPR($B$1,$A250,dr)</f>
        <v>0.39215420833222547</v>
      </c>
      <c r="C250" s="33">
        <f>TPR($C$1,$A250,dr)</f>
        <v>0.40291811828436114</v>
      </c>
      <c r="D250" s="33">
        <f t="shared" si="36"/>
        <v>0.41552630220691961</v>
      </c>
      <c r="E250" s="33">
        <f t="shared" si="37"/>
        <v>0.42232869248951499</v>
      </c>
      <c r="F250" s="33">
        <f t="shared" si="38"/>
        <v>0.42833323267963791</v>
      </c>
      <c r="G250" s="33">
        <f t="shared" si="39"/>
        <v>0.43580763779814746</v>
      </c>
      <c r="H250" s="33">
        <f t="shared" si="40"/>
        <v>0.44366323226718551</v>
      </c>
      <c r="I250" s="33">
        <f t="shared" si="41"/>
        <v>0.45894866143131374</v>
      </c>
      <c r="J250" s="33">
        <f t="shared" si="42"/>
        <v>0.47275281450695317</v>
      </c>
      <c r="K250" s="33">
        <f t="shared" si="43"/>
        <v>0.49009156495324102</v>
      </c>
      <c r="L250" s="33">
        <f t="shared" si="44"/>
        <v>0.51453134489687058</v>
      </c>
      <c r="M250" s="33">
        <f t="shared" si="45"/>
        <v>0.5358588910337897</v>
      </c>
      <c r="N250" s="33">
        <f t="shared" si="46"/>
        <v>0.55026655918779221</v>
      </c>
      <c r="O250" s="33">
        <f t="shared" si="47"/>
        <v>0.57273636370711511</v>
      </c>
    </row>
    <row r="251" spans="1:15" x14ac:dyDescent="0.25">
      <c r="A251" s="2">
        <v>249</v>
      </c>
      <c r="B251" s="33">
        <f>TPR($B$1,$A251,dr)</f>
        <v>0.39050146907853928</v>
      </c>
      <c r="C251" s="33">
        <f>TPR($C$1,$A251,dr)</f>
        <v>0.40115293865306006</v>
      </c>
      <c r="D251" s="33">
        <f t="shared" si="36"/>
        <v>0.4135458043030692</v>
      </c>
      <c r="E251" s="33">
        <f t="shared" si="37"/>
        <v>0.42010954639641568</v>
      </c>
      <c r="F251" s="33">
        <f t="shared" si="38"/>
        <v>0.42640455466175731</v>
      </c>
      <c r="G251" s="33">
        <f t="shared" si="39"/>
        <v>0.43395748641579457</v>
      </c>
      <c r="H251" s="33">
        <f t="shared" si="40"/>
        <v>0.4417661289026093</v>
      </c>
      <c r="I251" s="33">
        <f t="shared" si="41"/>
        <v>0.45698762698477879</v>
      </c>
      <c r="J251" s="33">
        <f t="shared" si="42"/>
        <v>0.47107554992601014</v>
      </c>
      <c r="K251" s="33">
        <f t="shared" si="43"/>
        <v>0.4880450944912918</v>
      </c>
      <c r="L251" s="33">
        <f t="shared" si="44"/>
        <v>0.51266230052215134</v>
      </c>
      <c r="M251" s="33">
        <f t="shared" si="45"/>
        <v>0.53390854419509337</v>
      </c>
      <c r="N251" s="33">
        <f t="shared" si="46"/>
        <v>0.54833275688928385</v>
      </c>
      <c r="O251" s="33">
        <f t="shared" si="47"/>
        <v>0.57086858597669798</v>
      </c>
    </row>
    <row r="252" spans="1:15" x14ac:dyDescent="0.25">
      <c r="A252" s="2">
        <v>250</v>
      </c>
      <c r="B252" s="33">
        <f>TPR($B$1,$A252,dr)</f>
        <v>0.38866808738450742</v>
      </c>
      <c r="C252" s="33">
        <f>TPR($C$1,$A252,dr)</f>
        <v>0.39934770069424336</v>
      </c>
      <c r="D252" s="33">
        <f t="shared" si="36"/>
        <v>0.4117966732032568</v>
      </c>
      <c r="E252" s="33">
        <f t="shared" si="37"/>
        <v>0.41838413508529715</v>
      </c>
      <c r="F252" s="33">
        <f t="shared" si="38"/>
        <v>0.42469922149180028</v>
      </c>
      <c r="G252" s="33">
        <f t="shared" si="39"/>
        <v>0.43216628553844244</v>
      </c>
      <c r="H252" s="33">
        <f t="shared" si="40"/>
        <v>0.43992919127101571</v>
      </c>
      <c r="I252" s="33">
        <f t="shared" si="41"/>
        <v>0.45501666424666465</v>
      </c>
      <c r="J252" s="33">
        <f t="shared" si="42"/>
        <v>0.4691277778885819</v>
      </c>
      <c r="K252" s="33">
        <f t="shared" si="43"/>
        <v>0.48615155748207589</v>
      </c>
      <c r="L252" s="33">
        <f t="shared" si="44"/>
        <v>0.51049596556705867</v>
      </c>
      <c r="M252" s="33">
        <f t="shared" si="45"/>
        <v>0.53178895709274177</v>
      </c>
      <c r="N252" s="33">
        <f t="shared" si="46"/>
        <v>0.54648728724817697</v>
      </c>
      <c r="O252" s="33">
        <f t="shared" si="47"/>
        <v>0.5690887775305733</v>
      </c>
    </row>
    <row r="253" spans="1:15" x14ac:dyDescent="0.25">
      <c r="A253" s="2">
        <v>251</v>
      </c>
      <c r="B253" s="33">
        <f>TPR($B$1,$A253,dr)</f>
        <v>0.38700157674773183</v>
      </c>
      <c r="C253" s="33">
        <f>TPR($C$1,$A253,dr)</f>
        <v>0.39770690860563124</v>
      </c>
      <c r="D253" s="33">
        <f t="shared" si="36"/>
        <v>0.41014324647032757</v>
      </c>
      <c r="E253" s="33">
        <f t="shared" si="37"/>
        <v>0.41648235421062141</v>
      </c>
      <c r="F253" s="33">
        <f t="shared" si="38"/>
        <v>0.4229528820766989</v>
      </c>
      <c r="G253" s="33">
        <f t="shared" si="39"/>
        <v>0.43036936002541415</v>
      </c>
      <c r="H253" s="33">
        <f t="shared" si="40"/>
        <v>0.43808486018714282</v>
      </c>
      <c r="I253" s="33">
        <f t="shared" si="41"/>
        <v>0.45303470381148508</v>
      </c>
      <c r="J253" s="33">
        <f t="shared" si="42"/>
        <v>0.46704212019077279</v>
      </c>
      <c r="K253" s="33">
        <f t="shared" si="43"/>
        <v>0.48407941757804374</v>
      </c>
      <c r="L253" s="33">
        <f t="shared" si="44"/>
        <v>0.50848260806983347</v>
      </c>
      <c r="M253" s="33">
        <f t="shared" si="45"/>
        <v>0.52979180104224699</v>
      </c>
      <c r="N253" s="33">
        <f t="shared" si="46"/>
        <v>0.54453629049722629</v>
      </c>
      <c r="O253" s="33">
        <f t="shared" si="47"/>
        <v>0.56720602868670666</v>
      </c>
    </row>
    <row r="254" spans="1:15" x14ac:dyDescent="0.25">
      <c r="A254" s="2">
        <v>252</v>
      </c>
      <c r="B254" s="33">
        <f>TPR($B$1,$A254,dr)</f>
        <v>0.3853283059785087</v>
      </c>
      <c r="C254" s="33">
        <f>TPR($C$1,$A254,dr)</f>
        <v>0.39599134030841321</v>
      </c>
      <c r="D254" s="33">
        <f t="shared" si="36"/>
        <v>0.40841414783820329</v>
      </c>
      <c r="E254" s="33">
        <f t="shared" si="37"/>
        <v>0.41490933762498172</v>
      </c>
      <c r="F254" s="33">
        <f t="shared" si="38"/>
        <v>0.42113511329618991</v>
      </c>
      <c r="G254" s="33">
        <f t="shared" si="39"/>
        <v>0.42859700351953478</v>
      </c>
      <c r="H254" s="33">
        <f t="shared" si="40"/>
        <v>0.43633424015309386</v>
      </c>
      <c r="I254" s="33">
        <f t="shared" si="41"/>
        <v>0.45088446379364228</v>
      </c>
      <c r="J254" s="33">
        <f t="shared" si="42"/>
        <v>0.46491552990877044</v>
      </c>
      <c r="K254" s="33">
        <f t="shared" si="43"/>
        <v>0.48199908509915312</v>
      </c>
      <c r="L254" s="33">
        <f t="shared" si="44"/>
        <v>0.50675328785501161</v>
      </c>
      <c r="M254" s="33">
        <f t="shared" si="45"/>
        <v>0.5279492475002302</v>
      </c>
      <c r="N254" s="33">
        <f t="shared" si="46"/>
        <v>0.54248300471263344</v>
      </c>
      <c r="O254" s="33">
        <f t="shared" si="47"/>
        <v>0.56521741663941161</v>
      </c>
    </row>
    <row r="255" spans="1:15" x14ac:dyDescent="0.25">
      <c r="A255" s="2">
        <v>253</v>
      </c>
      <c r="B255" s="33">
        <f>TPR($B$1,$A255,dr)</f>
        <v>0.38329880098285418</v>
      </c>
      <c r="C255" s="33">
        <f>TPR($C$1,$A255,dr)</f>
        <v>0.39399302421832955</v>
      </c>
      <c r="D255" s="33">
        <f t="shared" si="36"/>
        <v>0.40653956096327032</v>
      </c>
      <c r="E255" s="33">
        <f t="shared" si="37"/>
        <v>0.41332713505402713</v>
      </c>
      <c r="F255" s="33">
        <f t="shared" si="38"/>
        <v>0.41931263866029678</v>
      </c>
      <c r="G255" s="33">
        <f t="shared" si="39"/>
        <v>0.42671825832903432</v>
      </c>
      <c r="H255" s="33">
        <f t="shared" si="40"/>
        <v>0.43447610053324265</v>
      </c>
      <c r="I255" s="33">
        <f t="shared" si="41"/>
        <v>0.44921538484616175</v>
      </c>
      <c r="J255" s="33">
        <f t="shared" si="42"/>
        <v>0.46301390832298722</v>
      </c>
      <c r="K255" s="33">
        <f t="shared" si="43"/>
        <v>0.47991289055430231</v>
      </c>
      <c r="L255" s="33">
        <f t="shared" si="44"/>
        <v>0.50501757933786873</v>
      </c>
      <c r="M255" s="33">
        <f t="shared" si="45"/>
        <v>0.52610014116608661</v>
      </c>
      <c r="N255" s="33">
        <f t="shared" si="46"/>
        <v>0.54067835597500302</v>
      </c>
      <c r="O255" s="33">
        <f t="shared" si="47"/>
        <v>0.56344746141404889</v>
      </c>
    </row>
    <row r="256" spans="1:15" x14ac:dyDescent="0.25">
      <c r="A256" s="2">
        <v>254</v>
      </c>
      <c r="B256" s="33">
        <f>TPR($B$1,$A256,dr)</f>
        <v>0.38108639539662403</v>
      </c>
      <c r="C256" s="33">
        <f>TPR($C$1,$A256,dr)</f>
        <v>0.39201744891049406</v>
      </c>
      <c r="D256" s="33">
        <f t="shared" si="36"/>
        <v>0.40489996642832798</v>
      </c>
      <c r="E256" s="33">
        <f t="shared" si="37"/>
        <v>0.41157351848003831</v>
      </c>
      <c r="F256" s="33">
        <f t="shared" si="38"/>
        <v>0.41731755910899221</v>
      </c>
      <c r="G256" s="33">
        <f t="shared" si="39"/>
        <v>0.42476229770417528</v>
      </c>
      <c r="H256" s="33">
        <f t="shared" si="40"/>
        <v>0.43254744461884864</v>
      </c>
      <c r="I256" s="33">
        <f t="shared" si="41"/>
        <v>0.44753317419456012</v>
      </c>
      <c r="J256" s="33">
        <f t="shared" si="42"/>
        <v>0.46110720841384073</v>
      </c>
      <c r="K256" s="33">
        <f t="shared" si="43"/>
        <v>0.47798010471339153</v>
      </c>
      <c r="L256" s="33">
        <f t="shared" si="44"/>
        <v>0.50298156758126056</v>
      </c>
      <c r="M256" s="33">
        <f t="shared" si="45"/>
        <v>0.52408024534329756</v>
      </c>
      <c r="N256" s="33">
        <f t="shared" si="46"/>
        <v>0.53870445219066454</v>
      </c>
      <c r="O256" s="33">
        <f t="shared" si="47"/>
        <v>0.56154036657434347</v>
      </c>
    </row>
    <row r="257" spans="1:15" x14ac:dyDescent="0.25">
      <c r="A257" s="2">
        <v>255</v>
      </c>
      <c r="B257" s="33">
        <f>TPR($B$1,$A257,dr)</f>
        <v>0.37904082261351713</v>
      </c>
      <c r="C257" s="33">
        <f>TPR($C$1,$A257,dr)</f>
        <v>0.39000262299427263</v>
      </c>
      <c r="D257" s="33">
        <f t="shared" si="36"/>
        <v>0.40297669137722086</v>
      </c>
      <c r="E257" s="33">
        <f t="shared" si="37"/>
        <v>0.40980854194798577</v>
      </c>
      <c r="F257" s="33">
        <f t="shared" si="38"/>
        <v>0.41544854703046663</v>
      </c>
      <c r="G257" s="33">
        <f t="shared" si="39"/>
        <v>0.42277119779353672</v>
      </c>
      <c r="H257" s="33">
        <f t="shared" si="40"/>
        <v>0.43057106504978421</v>
      </c>
      <c r="I257" s="33">
        <f t="shared" si="41"/>
        <v>0.44568502270334637</v>
      </c>
      <c r="J257" s="33">
        <f t="shared" si="42"/>
        <v>0.4594162253769144</v>
      </c>
      <c r="K257" s="33">
        <f t="shared" si="43"/>
        <v>0.47604742285616852</v>
      </c>
      <c r="L257" s="33">
        <f t="shared" si="44"/>
        <v>0.50113047394006704</v>
      </c>
      <c r="M257" s="33">
        <f t="shared" si="45"/>
        <v>0.52237447752814359</v>
      </c>
      <c r="N257" s="33">
        <f t="shared" si="46"/>
        <v>0.53666698267829194</v>
      </c>
      <c r="O257" s="33">
        <f t="shared" si="47"/>
        <v>0.55975623218129955</v>
      </c>
    </row>
    <row r="258" spans="1:15" x14ac:dyDescent="0.25">
      <c r="A258" s="2">
        <v>256</v>
      </c>
      <c r="B258" s="33">
        <f>TPR($B$1,$A258,dr)</f>
        <v>0.37698733994792594</v>
      </c>
      <c r="C258" s="33">
        <f>TPR($C$1,$A258,dr)</f>
        <v>0.38797999568485175</v>
      </c>
      <c r="D258" s="33">
        <f t="shared" ref="D258:D321" si="48">TPR($D$1,$A258,dr)</f>
        <v>0.40101335246937514</v>
      </c>
      <c r="E258" s="33">
        <f t="shared" ref="E258:E321" si="49">TPR($E$1,$A258,dr)</f>
        <v>0.40786890783788049</v>
      </c>
      <c r="F258" s="33">
        <f t="shared" ref="F258:F321" si="50">TPR($F$1,$A258,dr)</f>
        <v>0.41366674699746014</v>
      </c>
      <c r="G258" s="33">
        <f t="shared" ref="G258:G321" si="51">TPR($G$1,$A258,dr)</f>
        <v>0.42103729166932519</v>
      </c>
      <c r="H258" s="33">
        <f t="shared" ref="H258:H321" si="52">TPR($H$1,$A258,dr)</f>
        <v>0.42873392074799921</v>
      </c>
      <c r="I258" s="33">
        <f t="shared" ref="I258:I321" si="53">TPR($I$1,$A258,dr)</f>
        <v>0.44350445539995725</v>
      </c>
      <c r="J258" s="33">
        <f t="shared" ref="J258:J321" si="54">TPR($J$1,$A258,dr)</f>
        <v>0.45751565888479007</v>
      </c>
      <c r="K258" s="33">
        <f t="shared" ref="K258:K321" si="55">TPR($K$1,$A258,dr)</f>
        <v>0.4741054688798772</v>
      </c>
      <c r="L258" s="33">
        <f t="shared" ref="L258:L321" si="56">TPR($L$1,$A258,dr)</f>
        <v>0.49924090965463841</v>
      </c>
      <c r="M258" s="33">
        <f t="shared" ref="M258:M321" si="57">TPR($M$1,$A258,dr)</f>
        <v>0.52050100207435579</v>
      </c>
      <c r="N258" s="33">
        <f t="shared" ref="N258:N321" si="58">TPR($N$1,$A258,dr)</f>
        <v>0.53471479119458609</v>
      </c>
      <c r="O258" s="33">
        <f t="shared" ref="O258:O321" si="59">TPR($O$1,$A258,dr)</f>
        <v>0.55773192956189266</v>
      </c>
    </row>
    <row r="259" spans="1:15" x14ac:dyDescent="0.25">
      <c r="A259" s="2">
        <v>257</v>
      </c>
      <c r="B259" s="33">
        <f>TPR($B$1,$A259,dr)</f>
        <v>0.37527763033382278</v>
      </c>
      <c r="C259" s="33">
        <f>TPR($C$1,$A259,dr)</f>
        <v>0.38622914931062163</v>
      </c>
      <c r="D259" s="33">
        <f t="shared" si="48"/>
        <v>0.39921383446897857</v>
      </c>
      <c r="E259" s="33">
        <f t="shared" si="49"/>
        <v>0.40609171061682042</v>
      </c>
      <c r="F259" s="33">
        <f t="shared" si="50"/>
        <v>0.41204524906040862</v>
      </c>
      <c r="G259" s="33">
        <f t="shared" si="51"/>
        <v>0.41927335814222133</v>
      </c>
      <c r="H259" s="33">
        <f t="shared" si="52"/>
        <v>0.42690839613452042</v>
      </c>
      <c r="I259" s="33">
        <f t="shared" si="53"/>
        <v>0.44149097379688546</v>
      </c>
      <c r="J259" s="33">
        <f t="shared" si="54"/>
        <v>0.45538731256540499</v>
      </c>
      <c r="K259" s="33">
        <f t="shared" si="55"/>
        <v>0.47230487240333308</v>
      </c>
      <c r="L259" s="33">
        <f t="shared" si="56"/>
        <v>0.49731396179573523</v>
      </c>
      <c r="M259" s="33">
        <f t="shared" si="57"/>
        <v>0.51846060791666571</v>
      </c>
      <c r="N259" s="33">
        <f t="shared" si="58"/>
        <v>0.53297019644540566</v>
      </c>
      <c r="O259" s="33">
        <f t="shared" si="59"/>
        <v>0.55593260240234799</v>
      </c>
    </row>
    <row r="260" spans="1:15" x14ac:dyDescent="0.25">
      <c r="A260" s="2">
        <v>258</v>
      </c>
      <c r="B260" s="33">
        <f>TPR($B$1,$A260,dr)</f>
        <v>0.37356110685458793</v>
      </c>
      <c r="C260" s="33">
        <f>TPR($C$1,$A260,dr)</f>
        <v>0.38460557554660352</v>
      </c>
      <c r="D260" s="33">
        <f t="shared" si="48"/>
        <v>0.39765811841032284</v>
      </c>
      <c r="E260" s="33">
        <f t="shared" si="49"/>
        <v>0.404150136024648</v>
      </c>
      <c r="F260" s="33">
        <f t="shared" si="50"/>
        <v>0.4102469221394951</v>
      </c>
      <c r="G260" s="33">
        <f t="shared" si="51"/>
        <v>0.41743217927690873</v>
      </c>
      <c r="H260" s="33">
        <f t="shared" si="52"/>
        <v>0.42501381362130958</v>
      </c>
      <c r="I260" s="33">
        <f t="shared" si="53"/>
        <v>0.43946540452085775</v>
      </c>
      <c r="J260" s="33">
        <f t="shared" si="54"/>
        <v>0.45337911714715901</v>
      </c>
      <c r="K260" s="33">
        <f t="shared" si="55"/>
        <v>0.47065810740602548</v>
      </c>
      <c r="L260" s="33">
        <f t="shared" si="56"/>
        <v>0.49521669165436272</v>
      </c>
      <c r="M260" s="33">
        <f t="shared" si="57"/>
        <v>0.51624993720936252</v>
      </c>
      <c r="N260" s="33">
        <f t="shared" si="58"/>
        <v>0.53117828267435274</v>
      </c>
      <c r="O260" s="33">
        <f t="shared" si="59"/>
        <v>0.55415554795019384</v>
      </c>
    </row>
    <row r="261" spans="1:15" x14ac:dyDescent="0.25">
      <c r="A261" s="2">
        <v>259</v>
      </c>
      <c r="B261" s="33">
        <f>TPR($B$1,$A261,dr)</f>
        <v>0.37201416550898642</v>
      </c>
      <c r="C261" s="33">
        <f>TPR($C$1,$A261,dr)</f>
        <v>0.38308211685687182</v>
      </c>
      <c r="D261" s="33">
        <f t="shared" si="48"/>
        <v>0.39612912911509379</v>
      </c>
      <c r="E261" s="33">
        <f t="shared" si="49"/>
        <v>0.40236991124963845</v>
      </c>
      <c r="F261" s="33">
        <f t="shared" si="50"/>
        <v>0.40847983566674856</v>
      </c>
      <c r="G261" s="33">
        <f t="shared" si="51"/>
        <v>0.41567944645919797</v>
      </c>
      <c r="H261" s="33">
        <f t="shared" si="52"/>
        <v>0.42327930532494673</v>
      </c>
      <c r="I261" s="33">
        <f t="shared" si="53"/>
        <v>0.43760055814901716</v>
      </c>
      <c r="J261" s="33">
        <f t="shared" si="54"/>
        <v>0.45152855835679778</v>
      </c>
      <c r="K261" s="33">
        <f t="shared" si="55"/>
        <v>0.46869370900053703</v>
      </c>
      <c r="L261" s="33">
        <f t="shared" si="56"/>
        <v>0.49333357706559111</v>
      </c>
      <c r="M261" s="33">
        <f t="shared" si="57"/>
        <v>0.51451259710245179</v>
      </c>
      <c r="N261" s="33">
        <f t="shared" si="58"/>
        <v>0.52936499134051362</v>
      </c>
      <c r="O261" s="33">
        <f t="shared" si="59"/>
        <v>0.55223750117926007</v>
      </c>
    </row>
    <row r="262" spans="1:15" x14ac:dyDescent="0.25">
      <c r="A262" s="2">
        <v>260</v>
      </c>
      <c r="B262" s="33">
        <f>TPR($B$1,$A262,dr)</f>
        <v>0.37046095189438627</v>
      </c>
      <c r="C262" s="33">
        <f>TPR($C$1,$A262,dr)</f>
        <v>0.38141981426459631</v>
      </c>
      <c r="D262" s="33">
        <f t="shared" si="48"/>
        <v>0.39434126908211831</v>
      </c>
      <c r="E262" s="33">
        <f t="shared" si="49"/>
        <v>0.40073935770748287</v>
      </c>
      <c r="F262" s="33">
        <f t="shared" si="50"/>
        <v>0.40661695528264813</v>
      </c>
      <c r="G262" s="33">
        <f t="shared" si="51"/>
        <v>0.41384483303900921</v>
      </c>
      <c r="H262" s="33">
        <f t="shared" si="52"/>
        <v>0.42147925169989425</v>
      </c>
      <c r="I262" s="33">
        <f t="shared" si="53"/>
        <v>0.43587603546999082</v>
      </c>
      <c r="J262" s="33">
        <f t="shared" si="54"/>
        <v>0.44983640413271547</v>
      </c>
      <c r="K262" s="33">
        <f t="shared" si="55"/>
        <v>0.46673097563676791</v>
      </c>
      <c r="L262" s="33">
        <f t="shared" si="56"/>
        <v>0.49157731266051063</v>
      </c>
      <c r="M262" s="33">
        <f t="shared" si="57"/>
        <v>0.51277226301755174</v>
      </c>
      <c r="N262" s="33">
        <f t="shared" si="58"/>
        <v>0.52754541239612252</v>
      </c>
      <c r="O262" s="33">
        <f t="shared" si="59"/>
        <v>0.55025394549132778</v>
      </c>
    </row>
    <row r="263" spans="1:15" x14ac:dyDescent="0.25">
      <c r="A263" s="2">
        <v>261</v>
      </c>
      <c r="B263" s="33">
        <f>TPR($B$1,$A263,dr)</f>
        <v>0.36890145805038976</v>
      </c>
      <c r="C263" s="33">
        <f>TPR($C$1,$A263,dr)</f>
        <v>0.37975221174370843</v>
      </c>
      <c r="D263" s="33">
        <f t="shared" si="48"/>
        <v>0.39254547065970707</v>
      </c>
      <c r="E263" s="33">
        <f t="shared" si="49"/>
        <v>0.39910115645818944</v>
      </c>
      <c r="F263" s="33">
        <f t="shared" si="50"/>
        <v>0.40487802716775512</v>
      </c>
      <c r="G263" s="33">
        <f t="shared" si="51"/>
        <v>0.41198425617975232</v>
      </c>
      <c r="H263" s="33">
        <f t="shared" si="52"/>
        <v>0.41962137078106854</v>
      </c>
      <c r="I263" s="33">
        <f t="shared" si="53"/>
        <v>0.43415417107409227</v>
      </c>
      <c r="J263" s="33">
        <f t="shared" si="54"/>
        <v>0.44788570968946367</v>
      </c>
      <c r="K263" s="33">
        <f t="shared" si="55"/>
        <v>0.46490270702304659</v>
      </c>
      <c r="L263" s="33">
        <f t="shared" si="56"/>
        <v>0.48964970852747941</v>
      </c>
      <c r="M263" s="33">
        <f t="shared" si="57"/>
        <v>0.51086083534394577</v>
      </c>
      <c r="N263" s="33">
        <f t="shared" si="58"/>
        <v>0.52567999751525807</v>
      </c>
      <c r="O263" s="33">
        <f t="shared" si="59"/>
        <v>0.54845370940337623</v>
      </c>
    </row>
    <row r="264" spans="1:15" x14ac:dyDescent="0.25">
      <c r="A264" s="2">
        <v>262</v>
      </c>
      <c r="B264" s="33">
        <f>TPR($B$1,$A264,dr)</f>
        <v>0.36733567601659922</v>
      </c>
      <c r="C264" s="33">
        <f>TPR($C$1,$A264,dr)</f>
        <v>0.37814518172380923</v>
      </c>
      <c r="D264" s="33">
        <f t="shared" si="48"/>
        <v>0.39085594374143912</v>
      </c>
      <c r="E264" s="33">
        <f t="shared" si="49"/>
        <v>0.39729695373888452</v>
      </c>
      <c r="F264" s="33">
        <f t="shared" si="50"/>
        <v>0.40309170727098625</v>
      </c>
      <c r="G264" s="33">
        <f t="shared" si="51"/>
        <v>0.41021031528728902</v>
      </c>
      <c r="H264" s="33">
        <f t="shared" si="52"/>
        <v>0.417808641623161</v>
      </c>
      <c r="I264" s="33">
        <f t="shared" si="53"/>
        <v>0.43241270976492335</v>
      </c>
      <c r="J264" s="33">
        <f t="shared" si="54"/>
        <v>0.4459298945319573</v>
      </c>
      <c r="K264" s="33">
        <f t="shared" si="55"/>
        <v>0.46290978960147072</v>
      </c>
      <c r="L264" s="33">
        <f t="shared" si="56"/>
        <v>0.48757786795255936</v>
      </c>
      <c r="M264" s="33">
        <f t="shared" si="57"/>
        <v>0.50893549091881674</v>
      </c>
      <c r="N264" s="33">
        <f t="shared" si="58"/>
        <v>0.52368343091330227</v>
      </c>
      <c r="O264" s="33">
        <f t="shared" si="59"/>
        <v>0.5467535742831755</v>
      </c>
    </row>
    <row r="265" spans="1:15" x14ac:dyDescent="0.25">
      <c r="A265" s="2">
        <v>263</v>
      </c>
      <c r="B265" s="33">
        <f>TPR($B$1,$A265,dr)</f>
        <v>0.36558607419603062</v>
      </c>
      <c r="C265" s="33">
        <f>TPR($C$1,$A265,dr)</f>
        <v>0.37642309773925486</v>
      </c>
      <c r="D265" s="33">
        <f t="shared" si="48"/>
        <v>0.38916055439353059</v>
      </c>
      <c r="E265" s="33">
        <f t="shared" si="49"/>
        <v>0.39548673730448503</v>
      </c>
      <c r="F265" s="33">
        <f t="shared" si="50"/>
        <v>0.40129834488813326</v>
      </c>
      <c r="G265" s="33">
        <f t="shared" si="51"/>
        <v>0.40842937568168608</v>
      </c>
      <c r="H265" s="33">
        <f t="shared" si="52"/>
        <v>0.41599045190865946</v>
      </c>
      <c r="I265" s="33">
        <f t="shared" si="53"/>
        <v>0.43035476716633342</v>
      </c>
      <c r="J265" s="33">
        <f t="shared" si="54"/>
        <v>0.44401088305490732</v>
      </c>
      <c r="K265" s="33">
        <f t="shared" si="55"/>
        <v>0.46107457595948925</v>
      </c>
      <c r="L265" s="33">
        <f t="shared" si="56"/>
        <v>0.48566171972779409</v>
      </c>
      <c r="M265" s="33">
        <f t="shared" si="57"/>
        <v>0.50716586430782884</v>
      </c>
      <c r="N265" s="33">
        <f t="shared" si="58"/>
        <v>0.52184401322589435</v>
      </c>
      <c r="O265" s="33">
        <f t="shared" si="59"/>
        <v>0.54504782793811346</v>
      </c>
    </row>
    <row r="266" spans="1:15" x14ac:dyDescent="0.25">
      <c r="A266" s="2">
        <v>264</v>
      </c>
      <c r="B266" s="33">
        <f>TPR($B$1,$A266,dr)</f>
        <v>0.36365180370932743</v>
      </c>
      <c r="C266" s="33">
        <f>TPR($C$1,$A266,dr)</f>
        <v>0.37445359541349194</v>
      </c>
      <c r="D266" s="33">
        <f t="shared" si="48"/>
        <v>0.38716957904525945</v>
      </c>
      <c r="E266" s="33">
        <f t="shared" si="49"/>
        <v>0.39365527065220685</v>
      </c>
      <c r="F266" s="33">
        <f t="shared" si="50"/>
        <v>0.39949793122116251</v>
      </c>
      <c r="G266" s="33">
        <f t="shared" si="51"/>
        <v>0.40682389494657506</v>
      </c>
      <c r="H266" s="33">
        <f t="shared" si="52"/>
        <v>0.41444894264889126</v>
      </c>
      <c r="I266" s="33">
        <f t="shared" si="53"/>
        <v>0.42830590255388845</v>
      </c>
      <c r="J266" s="33">
        <f t="shared" si="54"/>
        <v>0.44220767482295525</v>
      </c>
      <c r="K266" s="33">
        <f t="shared" si="55"/>
        <v>0.45924309840337735</v>
      </c>
      <c r="L266" s="33">
        <f t="shared" si="56"/>
        <v>0.48401266084834049</v>
      </c>
      <c r="M266" s="33">
        <f t="shared" si="57"/>
        <v>0.50540259667860665</v>
      </c>
      <c r="N266" s="33">
        <f t="shared" si="58"/>
        <v>0.51999828030953854</v>
      </c>
      <c r="O266" s="33">
        <f t="shared" si="59"/>
        <v>0.54339025108199135</v>
      </c>
    </row>
    <row r="267" spans="1:15" x14ac:dyDescent="0.25">
      <c r="A267" s="2">
        <v>265</v>
      </c>
      <c r="B267" s="33">
        <f>TPR($B$1,$A267,dr)</f>
        <v>0.36188818329109573</v>
      </c>
      <c r="C267" s="33">
        <f>TPR($C$1,$A267,dr)</f>
        <v>0.3726527113846369</v>
      </c>
      <c r="D267" s="33">
        <f t="shared" si="48"/>
        <v>0.38531560024365119</v>
      </c>
      <c r="E267" s="33">
        <f t="shared" si="49"/>
        <v>0.39182374181883317</v>
      </c>
      <c r="F267" s="33">
        <f t="shared" si="50"/>
        <v>0.39781739220816642</v>
      </c>
      <c r="G267" s="33">
        <f t="shared" si="51"/>
        <v>0.405106957478303</v>
      </c>
      <c r="H267" s="33">
        <f t="shared" si="52"/>
        <v>0.41267592054383939</v>
      </c>
      <c r="I267" s="33">
        <f t="shared" si="53"/>
        <v>0.42655760152756772</v>
      </c>
      <c r="J267" s="33">
        <f t="shared" si="54"/>
        <v>0.44048066515760087</v>
      </c>
      <c r="K267" s="33">
        <f t="shared" si="55"/>
        <v>0.45740592378640288</v>
      </c>
      <c r="L267" s="33">
        <f t="shared" si="56"/>
        <v>0.48235763157897432</v>
      </c>
      <c r="M267" s="33">
        <f t="shared" si="57"/>
        <v>0.50363319239793736</v>
      </c>
      <c r="N267" s="33">
        <f t="shared" si="58"/>
        <v>0.51839066089470165</v>
      </c>
      <c r="O267" s="33">
        <f t="shared" si="59"/>
        <v>0.54128754501226695</v>
      </c>
    </row>
    <row r="268" spans="1:15" x14ac:dyDescent="0.25">
      <c r="A268" s="2">
        <v>266</v>
      </c>
      <c r="B268" s="33">
        <f>TPR($B$1,$A268,dr)</f>
        <v>0.35993931546207369</v>
      </c>
      <c r="C268" s="33">
        <f>TPR($C$1,$A268,dr)</f>
        <v>0.37086464104491229</v>
      </c>
      <c r="D268" s="33">
        <f t="shared" si="48"/>
        <v>0.38377453820368251</v>
      </c>
      <c r="E268" s="33">
        <f t="shared" si="49"/>
        <v>0.39016624869547029</v>
      </c>
      <c r="F268" s="33">
        <f t="shared" si="50"/>
        <v>0.39629999376880115</v>
      </c>
      <c r="G268" s="33">
        <f t="shared" si="51"/>
        <v>0.40346482301832781</v>
      </c>
      <c r="H268" s="33">
        <f t="shared" si="52"/>
        <v>0.4108959040239315</v>
      </c>
      <c r="I268" s="33">
        <f t="shared" si="53"/>
        <v>0.4246511056939386</v>
      </c>
      <c r="J268" s="33">
        <f t="shared" si="54"/>
        <v>0.43857947428798649</v>
      </c>
      <c r="K268" s="33">
        <f t="shared" si="55"/>
        <v>0.45555043795266192</v>
      </c>
      <c r="L268" s="33">
        <f t="shared" si="56"/>
        <v>0.48050479140700131</v>
      </c>
      <c r="M268" s="33">
        <f t="shared" si="57"/>
        <v>0.50153556147218248</v>
      </c>
      <c r="N268" s="33">
        <f t="shared" si="58"/>
        <v>0.51632373795988995</v>
      </c>
      <c r="O268" s="33">
        <f t="shared" si="59"/>
        <v>0.53912241624314272</v>
      </c>
    </row>
    <row r="269" spans="1:15" x14ac:dyDescent="0.25">
      <c r="A269" s="2">
        <v>267</v>
      </c>
      <c r="B269" s="33">
        <f>TPR($B$1,$A269,dr)</f>
        <v>0.35816164106663378</v>
      </c>
      <c r="C269" s="33">
        <f>TPR($C$1,$A269,dr)</f>
        <v>0.36911487056911324</v>
      </c>
      <c r="D269" s="33">
        <f t="shared" si="48"/>
        <v>0.38208128363835359</v>
      </c>
      <c r="E269" s="33">
        <f t="shared" si="49"/>
        <v>0.38849398594606666</v>
      </c>
      <c r="F269" s="33">
        <f t="shared" si="50"/>
        <v>0.39452306736481202</v>
      </c>
      <c r="G269" s="33">
        <f t="shared" si="51"/>
        <v>0.40147834668206328</v>
      </c>
      <c r="H269" s="33">
        <f t="shared" si="52"/>
        <v>0.40887616127088527</v>
      </c>
      <c r="I269" s="33">
        <f t="shared" si="53"/>
        <v>0.42288980425927408</v>
      </c>
      <c r="J269" s="33">
        <f t="shared" si="54"/>
        <v>0.43659192251438506</v>
      </c>
      <c r="K269" s="33">
        <f t="shared" si="55"/>
        <v>0.45367424072958601</v>
      </c>
      <c r="L269" s="33">
        <f t="shared" si="56"/>
        <v>0.47853255774968162</v>
      </c>
      <c r="M269" s="33">
        <f t="shared" si="57"/>
        <v>0.49957952735977479</v>
      </c>
      <c r="N269" s="33">
        <f t="shared" si="58"/>
        <v>0.5142922281997796</v>
      </c>
      <c r="O269" s="33">
        <f t="shared" si="59"/>
        <v>0.53738968620005478</v>
      </c>
    </row>
    <row r="270" spans="1:15" x14ac:dyDescent="0.25">
      <c r="A270" s="2">
        <v>268</v>
      </c>
      <c r="B270" s="33">
        <f>TPR($B$1,$A270,dr)</f>
        <v>0.3565559943900698</v>
      </c>
      <c r="C270" s="33">
        <f>TPR($C$1,$A270,dr)</f>
        <v>0.36734106407564865</v>
      </c>
      <c r="D270" s="33">
        <f t="shared" si="48"/>
        <v>0.38011329958428064</v>
      </c>
      <c r="E270" s="33">
        <f t="shared" si="49"/>
        <v>0.38695864340580483</v>
      </c>
      <c r="F270" s="33">
        <f t="shared" si="50"/>
        <v>0.39291210649794345</v>
      </c>
      <c r="G270" s="33">
        <f t="shared" si="51"/>
        <v>0.39974672650557797</v>
      </c>
      <c r="H270" s="33">
        <f t="shared" si="52"/>
        <v>0.4070800735498965</v>
      </c>
      <c r="I270" s="33">
        <f t="shared" si="53"/>
        <v>0.42112158341214234</v>
      </c>
      <c r="J270" s="33">
        <f t="shared" si="54"/>
        <v>0.43496769803298097</v>
      </c>
      <c r="K270" s="33">
        <f t="shared" si="55"/>
        <v>0.45183175056855535</v>
      </c>
      <c r="L270" s="33">
        <f t="shared" si="56"/>
        <v>0.47671850875192334</v>
      </c>
      <c r="M270" s="33">
        <f t="shared" si="57"/>
        <v>0.49778149563493679</v>
      </c>
      <c r="N270" s="33">
        <f t="shared" si="58"/>
        <v>0.51254004835659706</v>
      </c>
      <c r="O270" s="33">
        <f t="shared" si="59"/>
        <v>0.53572757127180559</v>
      </c>
    </row>
    <row r="271" spans="1:15" x14ac:dyDescent="0.25">
      <c r="A271" s="2">
        <v>269</v>
      </c>
      <c r="B271" s="33">
        <f>TPR($B$1,$A271,dr)</f>
        <v>0.3549440022530726</v>
      </c>
      <c r="C271" s="33">
        <f>TPR($C$1,$A271,dr)</f>
        <v>0.36562665675389888</v>
      </c>
      <c r="D271" s="33">
        <f t="shared" si="48"/>
        <v>0.37830994216065628</v>
      </c>
      <c r="E271" s="33">
        <f t="shared" si="49"/>
        <v>0.38558716668302762</v>
      </c>
      <c r="F271" s="33">
        <f t="shared" si="50"/>
        <v>0.39134274925332985</v>
      </c>
      <c r="G271" s="33">
        <f t="shared" si="51"/>
        <v>0.39809802039042574</v>
      </c>
      <c r="H271" s="33">
        <f t="shared" si="52"/>
        <v>0.40539538164575195</v>
      </c>
      <c r="I271" s="33">
        <f t="shared" si="53"/>
        <v>0.41949527453657592</v>
      </c>
      <c r="J271" s="33">
        <f t="shared" si="54"/>
        <v>0.43338140092938898</v>
      </c>
      <c r="K271" s="33">
        <f t="shared" si="55"/>
        <v>0.4499851394220491</v>
      </c>
      <c r="L271" s="33">
        <f t="shared" si="56"/>
        <v>0.47489720017959636</v>
      </c>
      <c r="M271" s="33">
        <f t="shared" si="57"/>
        <v>0.4959762399381839</v>
      </c>
      <c r="N271" s="33">
        <f t="shared" si="58"/>
        <v>0.51066015266715803</v>
      </c>
      <c r="O271" s="33">
        <f t="shared" si="59"/>
        <v>0.53386781733072108</v>
      </c>
    </row>
    <row r="272" spans="1:15" x14ac:dyDescent="0.25">
      <c r="A272" s="2">
        <v>270</v>
      </c>
      <c r="B272" s="33">
        <f>TPR($B$1,$A272,dr)</f>
        <v>0.35350514711963293</v>
      </c>
      <c r="C272" s="33">
        <f>TPR($C$1,$A272,dr)</f>
        <v>0.36414784017991925</v>
      </c>
      <c r="D272" s="33">
        <f t="shared" si="48"/>
        <v>0.37676848005988312</v>
      </c>
      <c r="E272" s="33">
        <f t="shared" si="49"/>
        <v>0.38406606531850945</v>
      </c>
      <c r="F272" s="33">
        <f t="shared" si="50"/>
        <v>0.38959751525737452</v>
      </c>
      <c r="G272" s="33">
        <f t="shared" si="51"/>
        <v>0.39627160226551372</v>
      </c>
      <c r="H272" s="33">
        <f t="shared" si="52"/>
        <v>0.40363727061059551</v>
      </c>
      <c r="I272" s="33">
        <f t="shared" si="53"/>
        <v>0.4180297477660615</v>
      </c>
      <c r="J272" s="33">
        <f t="shared" si="54"/>
        <v>0.43171315923277692</v>
      </c>
      <c r="K272" s="33">
        <f t="shared" si="55"/>
        <v>0.44842157149545198</v>
      </c>
      <c r="L272" s="33">
        <f t="shared" si="56"/>
        <v>0.47290215723735379</v>
      </c>
      <c r="M272" s="33">
        <f t="shared" si="57"/>
        <v>0.49399750866626801</v>
      </c>
      <c r="N272" s="33">
        <f t="shared" si="58"/>
        <v>0.50872820771916571</v>
      </c>
      <c r="O272" s="33">
        <f t="shared" si="59"/>
        <v>0.53216538897065835</v>
      </c>
    </row>
    <row r="273" spans="1:15" x14ac:dyDescent="0.25">
      <c r="A273" s="2">
        <v>271</v>
      </c>
      <c r="B273" s="33">
        <f>TPR($B$1,$A273,dr)</f>
        <v>0.35188072203475101</v>
      </c>
      <c r="C273" s="33">
        <f>TPR($C$1,$A273,dr)</f>
        <v>0.36261427302028792</v>
      </c>
      <c r="D273" s="33">
        <f t="shared" si="48"/>
        <v>0.37531877363245941</v>
      </c>
      <c r="E273" s="33">
        <f t="shared" si="49"/>
        <v>0.38222570048649307</v>
      </c>
      <c r="F273" s="33">
        <f t="shared" si="50"/>
        <v>0.38800023825304519</v>
      </c>
      <c r="G273" s="33">
        <f t="shared" si="51"/>
        <v>0.39469402920090119</v>
      </c>
      <c r="H273" s="33">
        <f t="shared" si="52"/>
        <v>0.40194083517533663</v>
      </c>
      <c r="I273" s="33">
        <f t="shared" si="53"/>
        <v>0.4163865361771909</v>
      </c>
      <c r="J273" s="33">
        <f t="shared" si="54"/>
        <v>0.43011521854035289</v>
      </c>
      <c r="K273" s="33">
        <f t="shared" si="55"/>
        <v>0.446866708629372</v>
      </c>
      <c r="L273" s="33">
        <f t="shared" si="56"/>
        <v>0.47123276832085975</v>
      </c>
      <c r="M273" s="33">
        <f t="shared" si="57"/>
        <v>0.49234402096641972</v>
      </c>
      <c r="N273" s="33">
        <f t="shared" si="58"/>
        <v>0.50712057163434165</v>
      </c>
      <c r="O273" s="33">
        <f t="shared" si="59"/>
        <v>0.53048012150967117</v>
      </c>
    </row>
    <row r="274" spans="1:15" x14ac:dyDescent="0.25">
      <c r="A274" s="2">
        <v>272</v>
      </c>
      <c r="B274" s="33">
        <f>TPR($B$1,$A274,dr)</f>
        <v>0.35024992782936487</v>
      </c>
      <c r="C274" s="33">
        <f>TPR($C$1,$A274,dr)</f>
        <v>0.36094675736365162</v>
      </c>
      <c r="D274" s="33">
        <f t="shared" si="48"/>
        <v>0.37354004633577464</v>
      </c>
      <c r="E274" s="33">
        <f t="shared" si="49"/>
        <v>0.38019535896456447</v>
      </c>
      <c r="F274" s="33">
        <f t="shared" si="50"/>
        <v>0.38634517406754765</v>
      </c>
      <c r="G274" s="33">
        <f t="shared" si="51"/>
        <v>0.39311166808059222</v>
      </c>
      <c r="H274" s="33">
        <f t="shared" si="52"/>
        <v>0.40028888521697226</v>
      </c>
      <c r="I274" s="33">
        <f t="shared" si="53"/>
        <v>0.41461185486408336</v>
      </c>
      <c r="J274" s="33">
        <f t="shared" si="54"/>
        <v>0.42822092590533389</v>
      </c>
      <c r="K274" s="33">
        <f t="shared" si="55"/>
        <v>0.44496990659603697</v>
      </c>
      <c r="L274" s="33">
        <f t="shared" si="56"/>
        <v>0.46941378377506282</v>
      </c>
      <c r="M274" s="33">
        <f t="shared" si="57"/>
        <v>0.49067226081938753</v>
      </c>
      <c r="N274" s="33">
        <f t="shared" si="58"/>
        <v>0.50550621576589838</v>
      </c>
      <c r="O274" s="33">
        <f t="shared" si="59"/>
        <v>0.52862146328822879</v>
      </c>
    </row>
    <row r="275" spans="1:15" x14ac:dyDescent="0.25">
      <c r="A275" s="2">
        <v>273</v>
      </c>
      <c r="B275" s="33">
        <f>TPR($B$1,$A275,dr)</f>
        <v>0.348612756543077</v>
      </c>
      <c r="C275" s="33">
        <f>TPR($C$1,$A275,dr)</f>
        <v>0.35933678767737665</v>
      </c>
      <c r="D275" s="33">
        <f t="shared" si="48"/>
        <v>0.37193203264230251</v>
      </c>
      <c r="E275" s="33">
        <f t="shared" si="49"/>
        <v>0.37833385601759145</v>
      </c>
      <c r="F275" s="33">
        <f t="shared" si="50"/>
        <v>0.38460598175711896</v>
      </c>
      <c r="G275" s="33">
        <f t="shared" si="51"/>
        <v>0.39143831198091739</v>
      </c>
      <c r="H275" s="33">
        <f t="shared" si="52"/>
        <v>0.39858171343626653</v>
      </c>
      <c r="I275" s="33">
        <f t="shared" si="53"/>
        <v>0.4128077866057222</v>
      </c>
      <c r="J275" s="33">
        <f t="shared" si="54"/>
        <v>0.42632057966162562</v>
      </c>
      <c r="K275" s="33">
        <f t="shared" si="55"/>
        <v>0.4432156016070174</v>
      </c>
      <c r="L275" s="33">
        <f t="shared" si="56"/>
        <v>0.46784989085054557</v>
      </c>
      <c r="M275" s="33">
        <f t="shared" si="57"/>
        <v>0.4888618818183989</v>
      </c>
      <c r="N275" s="33">
        <f t="shared" si="58"/>
        <v>0.5037185904957453</v>
      </c>
      <c r="O275" s="33">
        <f t="shared" si="59"/>
        <v>0.52687299885961503</v>
      </c>
    </row>
    <row r="276" spans="1:15" x14ac:dyDescent="0.25">
      <c r="A276" s="2">
        <v>274</v>
      </c>
      <c r="B276" s="33">
        <f>TPR($B$1,$A276,dr)</f>
        <v>0.34696920021548949</v>
      </c>
      <c r="C276" s="33">
        <f>TPR($C$1,$A276,dr)</f>
        <v>0.35772052204421961</v>
      </c>
      <c r="D276" s="33">
        <f t="shared" si="48"/>
        <v>0.37034403199493826</v>
      </c>
      <c r="E276" s="33">
        <f t="shared" si="49"/>
        <v>0.37662884634402721</v>
      </c>
      <c r="F276" s="33">
        <f t="shared" si="50"/>
        <v>0.38290907060832891</v>
      </c>
      <c r="G276" s="33">
        <f t="shared" si="51"/>
        <v>0.38975840408303736</v>
      </c>
      <c r="H276" s="33">
        <f t="shared" si="52"/>
        <v>0.39691747793272236</v>
      </c>
      <c r="I276" s="33">
        <f t="shared" si="53"/>
        <v>0.41102242933055433</v>
      </c>
      <c r="J276" s="33">
        <f t="shared" si="54"/>
        <v>0.42465457399199058</v>
      </c>
      <c r="K276" s="33">
        <f t="shared" si="55"/>
        <v>0.44134158980978622</v>
      </c>
      <c r="L276" s="33">
        <f t="shared" si="56"/>
        <v>0.46625782853256359</v>
      </c>
      <c r="M276" s="33">
        <f t="shared" si="57"/>
        <v>0.48689170282909411</v>
      </c>
      <c r="N276" s="33">
        <f t="shared" si="58"/>
        <v>0.50187526266111593</v>
      </c>
      <c r="O276" s="33">
        <f t="shared" si="59"/>
        <v>0.52514129596331527</v>
      </c>
    </row>
    <row r="277" spans="1:15" x14ac:dyDescent="0.25">
      <c r="A277" s="2">
        <v>275</v>
      </c>
      <c r="B277" s="33">
        <f>TPR($B$1,$A277,dr)</f>
        <v>0.34550015279268775</v>
      </c>
      <c r="C277" s="33">
        <f>TPR($C$1,$A277,dr)</f>
        <v>0.35615039297982365</v>
      </c>
      <c r="D277" s="33">
        <f t="shared" si="48"/>
        <v>0.36864687880227054</v>
      </c>
      <c r="E277" s="33">
        <f t="shared" si="49"/>
        <v>0.37522693183505634</v>
      </c>
      <c r="F277" s="33">
        <f t="shared" si="50"/>
        <v>0.38118514808784315</v>
      </c>
      <c r="G277" s="33">
        <f t="shared" si="51"/>
        <v>0.38789941013100809</v>
      </c>
      <c r="H277" s="33">
        <f t="shared" si="52"/>
        <v>0.39507492022905177</v>
      </c>
      <c r="I277" s="33">
        <f t="shared" si="53"/>
        <v>0.40920549676076151</v>
      </c>
      <c r="J277" s="33">
        <f t="shared" si="54"/>
        <v>0.42298074019705006</v>
      </c>
      <c r="K277" s="33">
        <f t="shared" si="55"/>
        <v>0.43946343518362546</v>
      </c>
      <c r="L277" s="33">
        <f t="shared" si="56"/>
        <v>0.46434926182688413</v>
      </c>
      <c r="M277" s="33">
        <f t="shared" si="57"/>
        <v>0.48473627544046521</v>
      </c>
      <c r="N277" s="33">
        <f t="shared" si="58"/>
        <v>0.49997414664371914</v>
      </c>
      <c r="O277" s="33">
        <f t="shared" si="59"/>
        <v>0.52337959026873782</v>
      </c>
    </row>
    <row r="278" spans="1:15" x14ac:dyDescent="0.25">
      <c r="A278" s="2">
        <v>276</v>
      </c>
      <c r="B278" s="33">
        <f>TPR($B$1,$A278,dr)</f>
        <v>0.34402527032736196</v>
      </c>
      <c r="C278" s="33">
        <f>TPR($C$1,$A278,dr)</f>
        <v>0.35470080023762524</v>
      </c>
      <c r="D278" s="33">
        <f t="shared" si="48"/>
        <v>0.36724711789716796</v>
      </c>
      <c r="E278" s="33">
        <f t="shared" si="49"/>
        <v>0.37384573944945998</v>
      </c>
      <c r="F278" s="33">
        <f t="shared" si="50"/>
        <v>0.37970244034159417</v>
      </c>
      <c r="G278" s="33">
        <f t="shared" si="51"/>
        <v>0.38629494537634007</v>
      </c>
      <c r="H278" s="33">
        <f t="shared" si="52"/>
        <v>0.39335094858099018</v>
      </c>
      <c r="I278" s="33">
        <f t="shared" si="53"/>
        <v>0.40738157558714166</v>
      </c>
      <c r="J278" s="33">
        <f t="shared" si="54"/>
        <v>0.42117974917514461</v>
      </c>
      <c r="K278" s="33">
        <f t="shared" si="55"/>
        <v>0.43785690678409189</v>
      </c>
      <c r="L278" s="33">
        <f t="shared" si="56"/>
        <v>0.46245753609986112</v>
      </c>
      <c r="M278" s="33">
        <f t="shared" si="57"/>
        <v>0.48272878936839003</v>
      </c>
      <c r="N278" s="33">
        <f t="shared" si="58"/>
        <v>0.49823030230150533</v>
      </c>
      <c r="O278" s="33">
        <f t="shared" si="59"/>
        <v>0.52163388370940333</v>
      </c>
    </row>
    <row r="279" spans="1:15" x14ac:dyDescent="0.25">
      <c r="A279" s="2">
        <v>277</v>
      </c>
      <c r="B279" s="33">
        <f>TPR($B$1,$A279,dr)</f>
        <v>0.34254454552248087</v>
      </c>
      <c r="C279" s="33">
        <f>TPR($C$1,$A279,dr)</f>
        <v>0.35330789864276579</v>
      </c>
      <c r="D279" s="33">
        <f t="shared" si="48"/>
        <v>0.36592496894768961</v>
      </c>
      <c r="E279" s="33">
        <f t="shared" si="49"/>
        <v>0.37199196880066493</v>
      </c>
      <c r="F279" s="33">
        <f t="shared" si="50"/>
        <v>0.37805765832600191</v>
      </c>
      <c r="G279" s="33">
        <f t="shared" si="51"/>
        <v>0.38468566681118238</v>
      </c>
      <c r="H279" s="33">
        <f t="shared" si="52"/>
        <v>0.39166757925194884</v>
      </c>
      <c r="I279" s="33">
        <f t="shared" si="53"/>
        <v>0.40572185872885558</v>
      </c>
      <c r="J279" s="33">
        <f t="shared" si="54"/>
        <v>0.41942310110270564</v>
      </c>
      <c r="K279" s="33">
        <f t="shared" si="55"/>
        <v>0.43624241114455148</v>
      </c>
      <c r="L279" s="33">
        <f t="shared" si="56"/>
        <v>0.46058151148116516</v>
      </c>
      <c r="M279" s="33">
        <f t="shared" si="57"/>
        <v>0.48086840335955755</v>
      </c>
      <c r="N279" s="33">
        <f t="shared" si="58"/>
        <v>0.49641039831980233</v>
      </c>
      <c r="O279" s="33">
        <f t="shared" si="59"/>
        <v>0.52002568444243236</v>
      </c>
    </row>
    <row r="280" spans="1:15" x14ac:dyDescent="0.25">
      <c r="A280" s="2">
        <v>278</v>
      </c>
      <c r="B280" s="33">
        <f>TPR($B$1,$A280,dr)</f>
        <v>0.34087621963180725</v>
      </c>
      <c r="C280" s="33">
        <f>TPR($C$1,$A280,dr)</f>
        <v>0.35185410046772364</v>
      </c>
      <c r="D280" s="33">
        <f t="shared" si="48"/>
        <v>0.36475510174528225</v>
      </c>
      <c r="E280" s="33">
        <f t="shared" si="49"/>
        <v>0.37015084529767139</v>
      </c>
      <c r="F280" s="33">
        <f t="shared" si="50"/>
        <v>0.37652501913632397</v>
      </c>
      <c r="G280" s="33">
        <f t="shared" si="51"/>
        <v>0.38316217263151958</v>
      </c>
      <c r="H280" s="33">
        <f t="shared" si="52"/>
        <v>0.38997764792353939</v>
      </c>
      <c r="I280" s="33">
        <f t="shared" si="53"/>
        <v>0.40391425472891229</v>
      </c>
      <c r="J280" s="33">
        <f t="shared" si="54"/>
        <v>0.41760887623448095</v>
      </c>
      <c r="K280" s="33">
        <f t="shared" si="55"/>
        <v>0.43447282989019304</v>
      </c>
      <c r="L280" s="33">
        <f t="shared" si="56"/>
        <v>0.45888858101760588</v>
      </c>
      <c r="M280" s="33">
        <f t="shared" si="57"/>
        <v>0.47932257527812627</v>
      </c>
      <c r="N280" s="33">
        <f t="shared" si="58"/>
        <v>0.49468564888258199</v>
      </c>
      <c r="O280" s="33">
        <f t="shared" si="59"/>
        <v>0.5182661988577103</v>
      </c>
    </row>
    <row r="281" spans="1:15" x14ac:dyDescent="0.25">
      <c r="A281" s="2">
        <v>279</v>
      </c>
      <c r="B281" s="33">
        <f>TPR($B$1,$A281,dr)</f>
        <v>0.33938350463356964</v>
      </c>
      <c r="C281" s="33">
        <f>TPR($C$1,$A281,dr)</f>
        <v>0.35032400686491039</v>
      </c>
      <c r="D281" s="33">
        <f t="shared" si="48"/>
        <v>0.36314263724369533</v>
      </c>
      <c r="E281" s="33">
        <f t="shared" si="49"/>
        <v>0.36842025090869512</v>
      </c>
      <c r="F281" s="33">
        <f t="shared" si="50"/>
        <v>0.37479506892077841</v>
      </c>
      <c r="G281" s="33">
        <f t="shared" si="51"/>
        <v>0.3815347630723403</v>
      </c>
      <c r="H281" s="33">
        <f t="shared" si="52"/>
        <v>0.38845399917638429</v>
      </c>
      <c r="I281" s="33">
        <f t="shared" si="53"/>
        <v>0.40227356060807096</v>
      </c>
      <c r="J281" s="33">
        <f t="shared" si="54"/>
        <v>0.41584039109903359</v>
      </c>
      <c r="K281" s="33">
        <f t="shared" si="55"/>
        <v>0.432549807815858</v>
      </c>
      <c r="L281" s="33">
        <f t="shared" si="56"/>
        <v>0.45704078434240447</v>
      </c>
      <c r="M281" s="33">
        <f t="shared" si="57"/>
        <v>0.47775410975638344</v>
      </c>
      <c r="N281" s="33">
        <f t="shared" si="58"/>
        <v>0.49307255471690742</v>
      </c>
      <c r="O281" s="33">
        <f t="shared" si="59"/>
        <v>0.51652081320823418</v>
      </c>
    </row>
    <row r="282" spans="1:15" x14ac:dyDescent="0.25">
      <c r="A282" s="2">
        <v>280</v>
      </c>
      <c r="B282" s="33">
        <f>TPR($B$1,$A282,dr)</f>
        <v>0.33770260626692927</v>
      </c>
      <c r="C282" s="33">
        <f>TPR($C$1,$A282,dr)</f>
        <v>0.3485471750552262</v>
      </c>
      <c r="D282" s="33">
        <f t="shared" si="48"/>
        <v>0.36128031678586969</v>
      </c>
      <c r="E282" s="33">
        <f t="shared" si="49"/>
        <v>0.36713024846796094</v>
      </c>
      <c r="F282" s="33">
        <f t="shared" si="50"/>
        <v>0.37334262789838463</v>
      </c>
      <c r="G282" s="33">
        <f t="shared" si="51"/>
        <v>0.3799918964554953</v>
      </c>
      <c r="H282" s="33">
        <f t="shared" si="52"/>
        <v>0.38688102779463462</v>
      </c>
      <c r="I282" s="33">
        <f t="shared" si="53"/>
        <v>0.40073606310655496</v>
      </c>
      <c r="J282" s="33">
        <f t="shared" si="54"/>
        <v>0.41423730539490772</v>
      </c>
      <c r="K282" s="33">
        <f t="shared" si="55"/>
        <v>0.4307908929631557</v>
      </c>
      <c r="L282" s="33">
        <f t="shared" si="56"/>
        <v>0.45545882465885718</v>
      </c>
      <c r="M282" s="33">
        <f t="shared" si="57"/>
        <v>0.47605586163467339</v>
      </c>
      <c r="N282" s="33">
        <f t="shared" si="58"/>
        <v>0.49140144629924626</v>
      </c>
      <c r="O282" s="33">
        <f t="shared" si="59"/>
        <v>0.51501878518037902</v>
      </c>
    </row>
    <row r="283" spans="1:15" x14ac:dyDescent="0.25">
      <c r="A283" s="2">
        <v>281</v>
      </c>
      <c r="B283" s="33">
        <f>TPR($B$1,$A283,dr)</f>
        <v>0.33619787100272175</v>
      </c>
      <c r="C283" s="33">
        <f>TPR($C$1,$A283,dr)</f>
        <v>0.3468833466056303</v>
      </c>
      <c r="D283" s="33">
        <f t="shared" si="48"/>
        <v>0.35938563819078689</v>
      </c>
      <c r="E283" s="33">
        <f t="shared" si="49"/>
        <v>0.36567121701902411</v>
      </c>
      <c r="F283" s="33">
        <f t="shared" si="50"/>
        <v>0.37159207884713213</v>
      </c>
      <c r="G283" s="33">
        <f t="shared" si="51"/>
        <v>0.3781755692336119</v>
      </c>
      <c r="H283" s="33">
        <f t="shared" si="52"/>
        <v>0.38517267698350444</v>
      </c>
      <c r="I283" s="33">
        <f t="shared" si="53"/>
        <v>0.39905148898238063</v>
      </c>
      <c r="J283" s="33">
        <f t="shared" si="54"/>
        <v>0.41257502864639317</v>
      </c>
      <c r="K283" s="33">
        <f t="shared" si="55"/>
        <v>0.4288812587454725</v>
      </c>
      <c r="L283" s="33">
        <f t="shared" si="56"/>
        <v>0.45374349279995252</v>
      </c>
      <c r="M283" s="33">
        <f t="shared" si="57"/>
        <v>0.47448823113276312</v>
      </c>
      <c r="N283" s="33">
        <f t="shared" si="58"/>
        <v>0.48977685532616139</v>
      </c>
      <c r="O283" s="33">
        <f t="shared" si="59"/>
        <v>0.513386134902584</v>
      </c>
    </row>
    <row r="284" spans="1:15" x14ac:dyDescent="0.25">
      <c r="A284" s="2">
        <v>282</v>
      </c>
      <c r="B284" s="33">
        <f>TPR($B$1,$A284,dr)</f>
        <v>0.33468725647155856</v>
      </c>
      <c r="C284" s="33">
        <f>TPR($C$1,$A284,dr)</f>
        <v>0.34546027644251626</v>
      </c>
      <c r="D284" s="33">
        <f t="shared" si="48"/>
        <v>0.35806600092170354</v>
      </c>
      <c r="E284" s="33">
        <f t="shared" si="49"/>
        <v>0.36395545745075508</v>
      </c>
      <c r="F284" s="33">
        <f t="shared" si="50"/>
        <v>0.36984578606175211</v>
      </c>
      <c r="G284" s="33">
        <f t="shared" si="51"/>
        <v>0.376444999401574</v>
      </c>
      <c r="H284" s="33">
        <f t="shared" si="52"/>
        <v>0.38349945446303541</v>
      </c>
      <c r="I284" s="33">
        <f t="shared" si="53"/>
        <v>0.39739486099744481</v>
      </c>
      <c r="J284" s="33">
        <f t="shared" si="54"/>
        <v>0.41078962158810078</v>
      </c>
      <c r="K284" s="33">
        <f t="shared" si="55"/>
        <v>0.42708682599791953</v>
      </c>
      <c r="L284" s="33">
        <f t="shared" si="56"/>
        <v>0.45200017500265155</v>
      </c>
      <c r="M284" s="33">
        <f t="shared" si="57"/>
        <v>0.47276078823563289</v>
      </c>
      <c r="N284" s="33">
        <f t="shared" si="58"/>
        <v>0.48797798306556062</v>
      </c>
      <c r="O284" s="33">
        <f t="shared" si="59"/>
        <v>0.51159962961721406</v>
      </c>
    </row>
    <row r="285" spans="1:15" x14ac:dyDescent="0.25">
      <c r="A285" s="2">
        <v>283</v>
      </c>
      <c r="B285" s="33">
        <f>TPR($B$1,$A285,dr)</f>
        <v>0.33317075537640806</v>
      </c>
      <c r="C285" s="33">
        <f>TPR($C$1,$A285,dr)</f>
        <v>0.34403093463938839</v>
      </c>
      <c r="D285" s="33">
        <f t="shared" si="48"/>
        <v>0.35674362847975183</v>
      </c>
      <c r="E285" s="33">
        <f t="shared" si="49"/>
        <v>0.36223635878537569</v>
      </c>
      <c r="F285" s="33">
        <f t="shared" si="50"/>
        <v>0.36809282372597402</v>
      </c>
      <c r="G285" s="33">
        <f t="shared" si="51"/>
        <v>0.37486708880703151</v>
      </c>
      <c r="H285" s="33">
        <f t="shared" si="52"/>
        <v>0.38204310015486298</v>
      </c>
      <c r="I285" s="33">
        <f t="shared" si="53"/>
        <v>0.39556113534548332</v>
      </c>
      <c r="J285" s="33">
        <f t="shared" si="54"/>
        <v>0.40882685839041349</v>
      </c>
      <c r="K285" s="33">
        <f t="shared" si="55"/>
        <v>0.42554780889955091</v>
      </c>
      <c r="L285" s="33">
        <f t="shared" si="56"/>
        <v>0.45023000634360882</v>
      </c>
      <c r="M285" s="33">
        <f t="shared" si="57"/>
        <v>0.47087436944658789</v>
      </c>
      <c r="N285" s="33">
        <f t="shared" si="58"/>
        <v>0.48600404389084007</v>
      </c>
      <c r="O285" s="33">
        <f t="shared" si="59"/>
        <v>0.50980587190514293</v>
      </c>
    </row>
    <row r="286" spans="1:15" x14ac:dyDescent="0.25">
      <c r="A286" s="2">
        <v>284</v>
      </c>
      <c r="B286" s="33">
        <f>TPR($B$1,$A286,dr)</f>
        <v>0.33183181692518915</v>
      </c>
      <c r="C286" s="33">
        <f>TPR($C$1,$A286,dr)</f>
        <v>0.34271527564998344</v>
      </c>
      <c r="D286" s="33">
        <f t="shared" si="48"/>
        <v>0.35543914357023165</v>
      </c>
      <c r="E286" s="33">
        <f t="shared" si="49"/>
        <v>0.36067249137999785</v>
      </c>
      <c r="F286" s="33">
        <f t="shared" si="50"/>
        <v>0.36650913079846403</v>
      </c>
      <c r="G286" s="33">
        <f t="shared" si="51"/>
        <v>0.3732969696412492</v>
      </c>
      <c r="H286" s="33">
        <f t="shared" si="52"/>
        <v>0.38041014723887351</v>
      </c>
      <c r="I286" s="33">
        <f t="shared" si="53"/>
        <v>0.39368590507485773</v>
      </c>
      <c r="J286" s="33">
        <f t="shared" si="54"/>
        <v>0.40708948570371728</v>
      </c>
      <c r="K286" s="33">
        <f t="shared" si="55"/>
        <v>0.42390854520174143</v>
      </c>
      <c r="L286" s="33">
        <f t="shared" si="56"/>
        <v>0.44845373354146761</v>
      </c>
      <c r="M286" s="33">
        <f t="shared" si="57"/>
        <v>0.46898168147136471</v>
      </c>
      <c r="N286" s="33">
        <f t="shared" si="58"/>
        <v>0.48425159774039939</v>
      </c>
      <c r="O286" s="33">
        <f t="shared" si="59"/>
        <v>0.50798542197551855</v>
      </c>
    </row>
    <row r="287" spans="1:15" x14ac:dyDescent="0.25">
      <c r="A287" s="2">
        <v>285</v>
      </c>
      <c r="B287" s="33">
        <f>TPR($B$1,$A287,dr)</f>
        <v>0.33030380576085583</v>
      </c>
      <c r="C287" s="33">
        <f>TPR($C$1,$A287,dr)</f>
        <v>0.34121329510208065</v>
      </c>
      <c r="D287" s="33">
        <f t="shared" si="48"/>
        <v>0.35399239222214562</v>
      </c>
      <c r="E287" s="33">
        <f t="shared" si="49"/>
        <v>0.35924362622019629</v>
      </c>
      <c r="F287" s="33">
        <f t="shared" si="50"/>
        <v>0.36497758159031124</v>
      </c>
      <c r="G287" s="33">
        <f t="shared" si="51"/>
        <v>0.371642350988246</v>
      </c>
      <c r="H287" s="33">
        <f t="shared" si="52"/>
        <v>0.37867853557262215</v>
      </c>
      <c r="I287" s="33">
        <f t="shared" si="53"/>
        <v>0.39184138456584633</v>
      </c>
      <c r="J287" s="33">
        <f t="shared" si="54"/>
        <v>0.40534418712899095</v>
      </c>
      <c r="K287" s="33">
        <f t="shared" si="55"/>
        <v>0.42226286990965484</v>
      </c>
      <c r="L287" s="33">
        <f t="shared" si="56"/>
        <v>0.44684170889340552</v>
      </c>
      <c r="M287" s="33">
        <f t="shared" si="57"/>
        <v>0.46725283335710416</v>
      </c>
      <c r="N287" s="33">
        <f t="shared" si="58"/>
        <v>0.4825470362250644</v>
      </c>
      <c r="O287" s="33">
        <f t="shared" si="59"/>
        <v>0.50602771339293218</v>
      </c>
    </row>
    <row r="288" spans="1:15" x14ac:dyDescent="0.25">
      <c r="A288" s="2">
        <v>286</v>
      </c>
      <c r="B288" s="33">
        <f>TPR($B$1,$A288,dr)</f>
        <v>0.32895391298840515</v>
      </c>
      <c r="C288" s="33">
        <f>TPR($C$1,$A288,dr)</f>
        <v>0.33982648287742345</v>
      </c>
      <c r="D288" s="33">
        <f t="shared" si="48"/>
        <v>0.3525399300569193</v>
      </c>
      <c r="E288" s="33">
        <f t="shared" si="49"/>
        <v>0.35780910808510541</v>
      </c>
      <c r="F288" s="33">
        <f t="shared" si="50"/>
        <v>0.36344134367571984</v>
      </c>
      <c r="G288" s="33">
        <f t="shared" si="51"/>
        <v>0.37013842103151523</v>
      </c>
      <c r="H288" s="33">
        <f t="shared" si="52"/>
        <v>0.37728976689163696</v>
      </c>
      <c r="I288" s="33">
        <f t="shared" si="53"/>
        <v>0.39020447626546384</v>
      </c>
      <c r="J288" s="33">
        <f t="shared" si="54"/>
        <v>0.40364864985021709</v>
      </c>
      <c r="K288" s="33">
        <f t="shared" si="55"/>
        <v>0.42061077521332935</v>
      </c>
      <c r="L288" s="33">
        <f t="shared" si="56"/>
        <v>0.44520524766127051</v>
      </c>
      <c r="M288" s="33">
        <f t="shared" si="57"/>
        <v>0.46536692328200813</v>
      </c>
      <c r="N288" s="33">
        <f t="shared" si="58"/>
        <v>0.48077881382578846</v>
      </c>
      <c r="O288" s="33">
        <f t="shared" si="59"/>
        <v>0.50424922753836754</v>
      </c>
    </row>
    <row r="289" spans="1:15" x14ac:dyDescent="0.25">
      <c r="A289" s="2">
        <v>287</v>
      </c>
      <c r="B289" s="33">
        <f>TPR($B$1,$A289,dr)</f>
        <v>0.32741436345125247</v>
      </c>
      <c r="C289" s="33">
        <f>TPR($C$1,$A289,dr)</f>
        <v>0.33831336016963748</v>
      </c>
      <c r="D289" s="33">
        <f t="shared" si="48"/>
        <v>0.35108175000901914</v>
      </c>
      <c r="E289" s="33">
        <f t="shared" si="49"/>
        <v>0.35636892999329067</v>
      </c>
      <c r="F289" s="33">
        <f t="shared" si="50"/>
        <v>0.3620174263754527</v>
      </c>
      <c r="G289" s="33">
        <f t="shared" si="51"/>
        <v>0.3686485776388127</v>
      </c>
      <c r="H289" s="33">
        <f t="shared" si="52"/>
        <v>0.3757204454702785</v>
      </c>
      <c r="I289" s="33">
        <f t="shared" si="53"/>
        <v>0.3886593415504549</v>
      </c>
      <c r="J289" s="33">
        <f t="shared" si="54"/>
        <v>0.40200500798519062</v>
      </c>
      <c r="K289" s="33">
        <f t="shared" si="55"/>
        <v>0.41895225330280339</v>
      </c>
      <c r="L289" s="33">
        <f t="shared" si="56"/>
        <v>0.44373483506251277</v>
      </c>
      <c r="M289" s="33">
        <f t="shared" si="57"/>
        <v>0.46364644906056895</v>
      </c>
      <c r="N289" s="33">
        <f t="shared" si="58"/>
        <v>0.47905986165774811</v>
      </c>
      <c r="O289" s="33">
        <f t="shared" si="59"/>
        <v>0.50276408835689623</v>
      </c>
    </row>
    <row r="290" spans="1:15" x14ac:dyDescent="0.25">
      <c r="A290" s="2">
        <v>288</v>
      </c>
      <c r="B290" s="33">
        <f>TPR($B$1,$A290,dr)</f>
        <v>0.32568429367597873</v>
      </c>
      <c r="C290" s="33">
        <f>TPR($C$1,$A290,dr)</f>
        <v>0.33661249205129229</v>
      </c>
      <c r="D290" s="33">
        <f t="shared" si="48"/>
        <v>0.34945685588313241</v>
      </c>
      <c r="E290" s="33">
        <f t="shared" si="49"/>
        <v>0.35490202934907616</v>
      </c>
      <c r="F290" s="33">
        <f t="shared" si="50"/>
        <v>0.36058789039548972</v>
      </c>
      <c r="G290" s="33">
        <f t="shared" si="51"/>
        <v>0.36700134539874979</v>
      </c>
      <c r="H290" s="33">
        <f t="shared" si="52"/>
        <v>0.37386851273826038</v>
      </c>
      <c r="I290" s="33">
        <f t="shared" si="53"/>
        <v>0.38710819142975617</v>
      </c>
      <c r="J290" s="33">
        <f t="shared" si="54"/>
        <v>0.40035627253875633</v>
      </c>
      <c r="K290" s="33">
        <f t="shared" si="55"/>
        <v>0.41714575512851038</v>
      </c>
      <c r="L290" s="33">
        <f t="shared" si="56"/>
        <v>0.44183704290458353</v>
      </c>
      <c r="M290" s="33">
        <f t="shared" si="57"/>
        <v>0.46216225249831433</v>
      </c>
      <c r="N290" s="33">
        <f t="shared" si="58"/>
        <v>0.47745051517458653</v>
      </c>
      <c r="O290" s="33">
        <f t="shared" si="59"/>
        <v>0.50081753058956502</v>
      </c>
    </row>
    <row r="291" spans="1:15" x14ac:dyDescent="0.25">
      <c r="A291" s="2">
        <v>289</v>
      </c>
      <c r="B291" s="33">
        <f>TPR($B$1,$A291,dr)</f>
        <v>0.32413260579362346</v>
      </c>
      <c r="C291" s="33">
        <f>TPR($C$1,$A291,dr)</f>
        <v>0.33502776054732786</v>
      </c>
      <c r="D291" s="33">
        <f t="shared" si="48"/>
        <v>0.34780625972007673</v>
      </c>
      <c r="E291" s="33">
        <f t="shared" si="49"/>
        <v>0.35327121478572682</v>
      </c>
      <c r="F291" s="33">
        <f t="shared" si="50"/>
        <v>0.35897542149676759</v>
      </c>
      <c r="G291" s="33">
        <f t="shared" si="51"/>
        <v>0.36525188660315622</v>
      </c>
      <c r="H291" s="33">
        <f t="shared" si="52"/>
        <v>0.37200624069179894</v>
      </c>
      <c r="I291" s="33">
        <f t="shared" si="53"/>
        <v>0.3854188469286699</v>
      </c>
      <c r="J291" s="33">
        <f t="shared" si="54"/>
        <v>0.39875609853870403</v>
      </c>
      <c r="K291" s="33">
        <f t="shared" si="55"/>
        <v>0.41550618987503285</v>
      </c>
      <c r="L291" s="33">
        <f t="shared" si="56"/>
        <v>0.43974041736727443</v>
      </c>
      <c r="M291" s="33">
        <f t="shared" si="57"/>
        <v>0.46034734952138956</v>
      </c>
      <c r="N291" s="33">
        <f t="shared" si="58"/>
        <v>0.47560749319730222</v>
      </c>
      <c r="O291" s="33">
        <f t="shared" si="59"/>
        <v>0.49897816067896716</v>
      </c>
    </row>
    <row r="292" spans="1:15" x14ac:dyDescent="0.25">
      <c r="A292" s="2">
        <v>290</v>
      </c>
      <c r="B292" s="33">
        <f>TPR($B$1,$A292,dr)</f>
        <v>0.32238981096809366</v>
      </c>
      <c r="C292" s="33">
        <f>TPR($C$1,$A292,dr)</f>
        <v>0.33331458485589649</v>
      </c>
      <c r="D292" s="33">
        <f t="shared" si="48"/>
        <v>0.34614936770985422</v>
      </c>
      <c r="E292" s="33">
        <f t="shared" si="49"/>
        <v>0.35163416825937921</v>
      </c>
      <c r="F292" s="33">
        <f t="shared" si="50"/>
        <v>0.35735677475678485</v>
      </c>
      <c r="G292" s="33">
        <f t="shared" si="51"/>
        <v>0.36372462676402312</v>
      </c>
      <c r="H292" s="33">
        <f t="shared" si="52"/>
        <v>0.37051930529416977</v>
      </c>
      <c r="I292" s="33">
        <f t="shared" si="53"/>
        <v>0.38381316489788592</v>
      </c>
      <c r="J292" s="33">
        <f t="shared" si="54"/>
        <v>0.39698293711482835</v>
      </c>
      <c r="K292" s="33">
        <f t="shared" si="55"/>
        <v>0.41379763009940951</v>
      </c>
      <c r="L292" s="33">
        <f t="shared" si="56"/>
        <v>0.43809737989500525</v>
      </c>
      <c r="M292" s="33">
        <f t="shared" si="57"/>
        <v>0.45858715434503622</v>
      </c>
      <c r="N292" s="33">
        <f t="shared" si="58"/>
        <v>0.47375849103016121</v>
      </c>
      <c r="O292" s="33">
        <f t="shared" si="59"/>
        <v>0.49743748309817026</v>
      </c>
    </row>
    <row r="293" spans="1:15" x14ac:dyDescent="0.25">
      <c r="A293" s="2">
        <v>291</v>
      </c>
      <c r="B293" s="33">
        <f>TPR($B$1,$A293,dr)</f>
        <v>0.32064049887021312</v>
      </c>
      <c r="C293" s="33">
        <f>TPR($C$1,$A293,dr)</f>
        <v>0.33171331885619093</v>
      </c>
      <c r="D293" s="33">
        <f t="shared" si="48"/>
        <v>0.34483004475998591</v>
      </c>
      <c r="E293" s="33">
        <f t="shared" si="49"/>
        <v>0.35019292756215048</v>
      </c>
      <c r="F293" s="33">
        <f t="shared" si="50"/>
        <v>0.35579462915557297</v>
      </c>
      <c r="G293" s="33">
        <f t="shared" si="51"/>
        <v>0.36218997223584914</v>
      </c>
      <c r="H293" s="33">
        <f t="shared" si="52"/>
        <v>0.36902995004233641</v>
      </c>
      <c r="I293" s="33">
        <f t="shared" si="53"/>
        <v>0.38232968733339046</v>
      </c>
      <c r="J293" s="33">
        <f t="shared" si="54"/>
        <v>0.39549205585357511</v>
      </c>
      <c r="K293" s="33">
        <f t="shared" si="55"/>
        <v>0.41200695869253307</v>
      </c>
      <c r="L293" s="33">
        <f t="shared" si="56"/>
        <v>0.43643179884357058</v>
      </c>
      <c r="M293" s="33">
        <f t="shared" si="57"/>
        <v>0.45667129257947886</v>
      </c>
      <c r="N293" s="33">
        <f t="shared" si="58"/>
        <v>0.47195401771218393</v>
      </c>
      <c r="O293" s="33">
        <f t="shared" si="59"/>
        <v>0.49609598970119406</v>
      </c>
    </row>
    <row r="294" spans="1:15" x14ac:dyDescent="0.25">
      <c r="A294" s="2">
        <v>292</v>
      </c>
      <c r="B294" s="33">
        <f>TPR($B$1,$A294,dr)</f>
        <v>0.3190704038350336</v>
      </c>
      <c r="C294" s="33">
        <f>TPR($C$1,$A294,dr)</f>
        <v>0.33022877249200788</v>
      </c>
      <c r="D294" s="33">
        <f t="shared" si="48"/>
        <v>0.34350633809278003</v>
      </c>
      <c r="E294" s="33">
        <f t="shared" si="49"/>
        <v>0.34874713702481147</v>
      </c>
      <c r="F294" s="33">
        <f t="shared" si="50"/>
        <v>0.354457169506111</v>
      </c>
      <c r="G294" s="33">
        <f t="shared" si="51"/>
        <v>0.36092810742810011</v>
      </c>
      <c r="H294" s="33">
        <f t="shared" si="52"/>
        <v>0.36768067559735035</v>
      </c>
      <c r="I294" s="33">
        <f t="shared" si="53"/>
        <v>0.38070660381122268</v>
      </c>
      <c r="J294" s="33">
        <f t="shared" si="54"/>
        <v>0.39404673390818729</v>
      </c>
      <c r="K294" s="33">
        <f t="shared" si="55"/>
        <v>0.41024636240452023</v>
      </c>
      <c r="L294" s="33">
        <f t="shared" si="56"/>
        <v>0.43479441240892358</v>
      </c>
      <c r="M294" s="33">
        <f t="shared" si="57"/>
        <v>0.4550493694927758</v>
      </c>
      <c r="N294" s="33">
        <f t="shared" si="58"/>
        <v>0.47037378382846928</v>
      </c>
      <c r="O294" s="33">
        <f t="shared" si="59"/>
        <v>0.49457805496888413</v>
      </c>
    </row>
    <row r="295" spans="1:15" x14ac:dyDescent="0.25">
      <c r="A295" s="2">
        <v>293</v>
      </c>
      <c r="B295" s="33">
        <f>TPR($B$1,$A295,dr)</f>
        <v>0.31749434904443241</v>
      </c>
      <c r="C295" s="33">
        <f>TPR($C$1,$A295,dr)</f>
        <v>0.32862049175276342</v>
      </c>
      <c r="D295" s="33">
        <f t="shared" si="48"/>
        <v>0.34183244198156637</v>
      </c>
      <c r="E295" s="33">
        <f t="shared" si="49"/>
        <v>0.34709304838451688</v>
      </c>
      <c r="F295" s="33">
        <f t="shared" si="50"/>
        <v>0.35293472822883237</v>
      </c>
      <c r="G295" s="33">
        <f t="shared" si="51"/>
        <v>0.35948379357824967</v>
      </c>
      <c r="H295" s="33">
        <f t="shared" si="52"/>
        <v>0.36622060361180864</v>
      </c>
      <c r="I295" s="33">
        <f t="shared" si="53"/>
        <v>0.37912190739002521</v>
      </c>
      <c r="J295" s="33">
        <f t="shared" si="54"/>
        <v>0.39248278221779259</v>
      </c>
      <c r="K295" s="33">
        <f t="shared" si="55"/>
        <v>0.40858788302139759</v>
      </c>
      <c r="L295" s="33">
        <f t="shared" si="56"/>
        <v>0.43313447039975977</v>
      </c>
      <c r="M295" s="33">
        <f t="shared" si="57"/>
        <v>0.45327176793079182</v>
      </c>
      <c r="N295" s="33">
        <f t="shared" si="58"/>
        <v>0.46872540560100578</v>
      </c>
      <c r="O295" s="33">
        <f t="shared" si="59"/>
        <v>0.49271195451141631</v>
      </c>
    </row>
    <row r="296" spans="1:15" x14ac:dyDescent="0.25">
      <c r="A296" s="2">
        <v>294</v>
      </c>
      <c r="B296" s="33">
        <f>TPR($B$1,$A296,dr)</f>
        <v>0.31609864315567354</v>
      </c>
      <c r="C296" s="33">
        <f>TPR($C$1,$A296,dr)</f>
        <v>0.32713194945530133</v>
      </c>
      <c r="D296" s="33">
        <f t="shared" si="48"/>
        <v>0.34018536005379513</v>
      </c>
      <c r="E296" s="33">
        <f t="shared" si="49"/>
        <v>0.34574392084514644</v>
      </c>
      <c r="F296" s="33">
        <f t="shared" si="50"/>
        <v>0.35142117757674773</v>
      </c>
      <c r="G296" s="33">
        <f t="shared" si="51"/>
        <v>0.35800172574838302</v>
      </c>
      <c r="H296" s="33">
        <f t="shared" si="52"/>
        <v>0.36493341672070906</v>
      </c>
      <c r="I296" s="33">
        <f t="shared" si="53"/>
        <v>0.37757895012161463</v>
      </c>
      <c r="J296" s="33">
        <f t="shared" si="54"/>
        <v>0.39091279330171208</v>
      </c>
      <c r="K296" s="33">
        <f t="shared" si="55"/>
        <v>0.4070627434924044</v>
      </c>
      <c r="L296" s="33">
        <f t="shared" si="56"/>
        <v>0.43148463300378409</v>
      </c>
      <c r="M296" s="33">
        <f t="shared" si="57"/>
        <v>0.45163735831109469</v>
      </c>
      <c r="N296" s="33">
        <f t="shared" si="58"/>
        <v>0.4671317085241885</v>
      </c>
      <c r="O296" s="33">
        <f t="shared" si="59"/>
        <v>0.49097847770123193</v>
      </c>
    </row>
    <row r="297" spans="1:15" x14ac:dyDescent="0.25">
      <c r="A297" s="2">
        <v>295</v>
      </c>
      <c r="B297" s="33">
        <f>TPR($B$1,$A297,dr)</f>
        <v>0.31469753723964344</v>
      </c>
      <c r="C297" s="33">
        <f>TPR($C$1,$A297,dr)</f>
        <v>0.3256972510457854</v>
      </c>
      <c r="D297" s="33">
        <f t="shared" si="48"/>
        <v>0.33869609699943143</v>
      </c>
      <c r="E297" s="33">
        <f t="shared" si="49"/>
        <v>0.34441239493425269</v>
      </c>
      <c r="F297" s="33">
        <f t="shared" si="50"/>
        <v>0.34990437161583104</v>
      </c>
      <c r="G297" s="33">
        <f t="shared" si="51"/>
        <v>0.35629458168687572</v>
      </c>
      <c r="H297" s="33">
        <f t="shared" si="52"/>
        <v>0.36317420377679643</v>
      </c>
      <c r="I297" s="33">
        <f t="shared" si="53"/>
        <v>0.37611030106999876</v>
      </c>
      <c r="J297" s="33">
        <f t="shared" si="54"/>
        <v>0.38940092971511497</v>
      </c>
      <c r="K297" s="33">
        <f t="shared" si="55"/>
        <v>0.40553164967666716</v>
      </c>
      <c r="L297" s="33">
        <f t="shared" si="56"/>
        <v>0.4299859816417762</v>
      </c>
      <c r="M297" s="33">
        <f t="shared" si="57"/>
        <v>0.45002055572015237</v>
      </c>
      <c r="N297" s="33">
        <f t="shared" si="58"/>
        <v>0.46553162274543641</v>
      </c>
      <c r="O297" s="33">
        <f t="shared" si="59"/>
        <v>0.48941116157270143</v>
      </c>
    </row>
    <row r="298" spans="1:15" x14ac:dyDescent="0.25">
      <c r="A298" s="2">
        <v>296</v>
      </c>
      <c r="B298" s="33">
        <f>TPR($B$1,$A298,dr)</f>
        <v>0.31329102466267733</v>
      </c>
      <c r="C298" s="33">
        <f>TPR($C$1,$A298,dr)</f>
        <v>0.32437364660339324</v>
      </c>
      <c r="D298" s="33">
        <f t="shared" si="48"/>
        <v>0.33751743252502309</v>
      </c>
      <c r="E298" s="33">
        <f t="shared" si="49"/>
        <v>0.34297082197440609</v>
      </c>
      <c r="F298" s="33">
        <f t="shared" si="50"/>
        <v>0.3484307652735415</v>
      </c>
      <c r="G298" s="33">
        <f t="shared" si="51"/>
        <v>0.35468922380677376</v>
      </c>
      <c r="H298" s="33">
        <f t="shared" si="52"/>
        <v>0.36140670299954958</v>
      </c>
      <c r="I298" s="33">
        <f t="shared" si="53"/>
        <v>0.37438145447396354</v>
      </c>
      <c r="J298" s="33">
        <f t="shared" si="54"/>
        <v>0.38753403495932098</v>
      </c>
      <c r="K298" s="33">
        <f t="shared" si="55"/>
        <v>0.40405745339516214</v>
      </c>
      <c r="L298" s="33">
        <f t="shared" si="56"/>
        <v>0.4283389005677124</v>
      </c>
      <c r="M298" s="33">
        <f t="shared" si="57"/>
        <v>0.44852231948376392</v>
      </c>
      <c r="N298" s="33">
        <f t="shared" si="58"/>
        <v>0.46377180272079188</v>
      </c>
      <c r="O298" s="33">
        <f t="shared" si="59"/>
        <v>0.4878539067593205</v>
      </c>
    </row>
    <row r="299" spans="1:15" x14ac:dyDescent="0.25">
      <c r="A299" s="2">
        <v>297</v>
      </c>
      <c r="B299" s="33">
        <f>TPR($B$1,$A299,dr)</f>
        <v>0.31206627689209154</v>
      </c>
      <c r="C299" s="33">
        <f>TPR($C$1,$A299,dr)</f>
        <v>0.32317093677056818</v>
      </c>
      <c r="D299" s="33">
        <f t="shared" si="48"/>
        <v>0.33633573627978824</v>
      </c>
      <c r="E299" s="33">
        <f t="shared" si="49"/>
        <v>0.34152582686059452</v>
      </c>
      <c r="F299" s="33">
        <f t="shared" si="50"/>
        <v>0.34706385051035876</v>
      </c>
      <c r="G299" s="33">
        <f t="shared" si="51"/>
        <v>0.35325922524854597</v>
      </c>
      <c r="H299" s="33">
        <f t="shared" si="52"/>
        <v>0.35977873914922959</v>
      </c>
      <c r="I299" s="33">
        <f t="shared" si="53"/>
        <v>0.37264823850633305</v>
      </c>
      <c r="J299" s="33">
        <f t="shared" si="54"/>
        <v>0.38577132687658905</v>
      </c>
      <c r="K299" s="33">
        <f t="shared" si="55"/>
        <v>0.40233783112628735</v>
      </c>
      <c r="L299" s="33">
        <f t="shared" si="56"/>
        <v>0.42651108785859604</v>
      </c>
      <c r="M299" s="33">
        <f t="shared" si="57"/>
        <v>0.44684384289925616</v>
      </c>
      <c r="N299" s="33">
        <f t="shared" si="58"/>
        <v>0.4620523609971901</v>
      </c>
      <c r="O299" s="33">
        <f t="shared" si="59"/>
        <v>0.4862910973943998</v>
      </c>
    </row>
    <row r="300" spans="1:15" x14ac:dyDescent="0.25">
      <c r="A300" s="2">
        <v>298</v>
      </c>
      <c r="B300" s="33">
        <f>TPR($B$1,$A300,dr)</f>
        <v>0.31064921891673236</v>
      </c>
      <c r="C300" s="33">
        <f>TPR($C$1,$A300,dr)</f>
        <v>0.32177872080758002</v>
      </c>
      <c r="D300" s="33">
        <f t="shared" si="48"/>
        <v>0.33496822069776766</v>
      </c>
      <c r="E300" s="33">
        <f t="shared" si="49"/>
        <v>0.33989619910002328</v>
      </c>
      <c r="F300" s="33">
        <f t="shared" si="50"/>
        <v>0.34551054344070248</v>
      </c>
      <c r="G300" s="33">
        <f t="shared" si="51"/>
        <v>0.35178837476138197</v>
      </c>
      <c r="H300" s="33">
        <f t="shared" si="52"/>
        <v>0.35829351539268389</v>
      </c>
      <c r="I300" s="33">
        <f t="shared" si="53"/>
        <v>0.37115962044266892</v>
      </c>
      <c r="J300" s="33">
        <f t="shared" si="54"/>
        <v>0.38424411295302829</v>
      </c>
      <c r="K300" s="33">
        <f t="shared" si="55"/>
        <v>0.40051457384561023</v>
      </c>
      <c r="L300" s="33">
        <f t="shared" si="56"/>
        <v>0.42467551260240316</v>
      </c>
      <c r="M300" s="33">
        <f t="shared" si="57"/>
        <v>0.44515783814301474</v>
      </c>
      <c r="N300" s="33">
        <f t="shared" si="58"/>
        <v>0.46043513384953694</v>
      </c>
      <c r="O300" s="33">
        <f t="shared" si="59"/>
        <v>0.48457861442199068</v>
      </c>
    </row>
    <row r="301" spans="1:15" x14ac:dyDescent="0.25">
      <c r="A301" s="2">
        <v>299</v>
      </c>
      <c r="B301" s="33">
        <f>TPR($B$1,$A301,dr)</f>
        <v>0.30941448857161385</v>
      </c>
      <c r="C301" s="33">
        <f>TPR($C$1,$A301,dr)</f>
        <v>0.32039441173473315</v>
      </c>
      <c r="D301" s="33">
        <f t="shared" si="48"/>
        <v>0.33327453346959562</v>
      </c>
      <c r="E301" s="33">
        <f t="shared" si="49"/>
        <v>0.33836194039076217</v>
      </c>
      <c r="F301" s="33">
        <f t="shared" si="50"/>
        <v>0.34390723502477882</v>
      </c>
      <c r="G301" s="33">
        <f t="shared" si="51"/>
        <v>0.35013286230949592</v>
      </c>
      <c r="H301" s="33">
        <f t="shared" si="52"/>
        <v>0.35665428090172557</v>
      </c>
      <c r="I301" s="33">
        <f t="shared" si="53"/>
        <v>0.36953955821749362</v>
      </c>
      <c r="J301" s="33">
        <f t="shared" si="54"/>
        <v>0.38253626648382083</v>
      </c>
      <c r="K301" s="33">
        <f t="shared" si="55"/>
        <v>0.3987833362943658</v>
      </c>
      <c r="L301" s="33">
        <f t="shared" si="56"/>
        <v>0.42313882871056668</v>
      </c>
      <c r="M301" s="33">
        <f t="shared" si="57"/>
        <v>0.44336917616546584</v>
      </c>
      <c r="N301" s="33">
        <f t="shared" si="58"/>
        <v>0.45885270269778772</v>
      </c>
      <c r="O301" s="33">
        <f t="shared" si="59"/>
        <v>0.48269966108964524</v>
      </c>
    </row>
    <row r="302" spans="1:15" x14ac:dyDescent="0.25">
      <c r="A302" s="2">
        <v>300</v>
      </c>
      <c r="B302" s="33">
        <f>TPR($B$1,$A302,dr)</f>
        <v>0.30798685954769101</v>
      </c>
      <c r="C302" s="33">
        <f>TPR($C$1,$A302,dr)</f>
        <v>0.31899249585737216</v>
      </c>
      <c r="D302" s="33">
        <f t="shared" si="48"/>
        <v>0.33192624014521765</v>
      </c>
      <c r="E302" s="33">
        <f t="shared" si="49"/>
        <v>0.33703049569351662</v>
      </c>
      <c r="F302" s="33">
        <f t="shared" si="50"/>
        <v>0.34259044563754676</v>
      </c>
      <c r="G302" s="33">
        <f t="shared" si="51"/>
        <v>0.34862285984056157</v>
      </c>
      <c r="H302" s="33">
        <f t="shared" si="52"/>
        <v>0.35488527358715438</v>
      </c>
      <c r="I302" s="33">
        <f t="shared" si="53"/>
        <v>0.36796795549743588</v>
      </c>
      <c r="J302" s="33">
        <f t="shared" si="54"/>
        <v>0.3809317443541157</v>
      </c>
      <c r="K302" s="33">
        <f t="shared" si="55"/>
        <v>0.39735546089901758</v>
      </c>
      <c r="L302" s="33">
        <f t="shared" si="56"/>
        <v>0.42143688110590916</v>
      </c>
      <c r="M302" s="33">
        <f t="shared" si="57"/>
        <v>0.4415489978299949</v>
      </c>
      <c r="N302" s="33">
        <f t="shared" si="58"/>
        <v>0.45704787898197774</v>
      </c>
      <c r="O302" s="33">
        <f t="shared" si="59"/>
        <v>0.48097123218320409</v>
      </c>
    </row>
    <row r="303" spans="1:15" x14ac:dyDescent="0.25">
      <c r="A303" s="2">
        <v>301</v>
      </c>
      <c r="B303" s="33">
        <f>TPR($B$1,$A303,dr)</f>
        <v>0.30655379113675252</v>
      </c>
      <c r="C303" s="33">
        <f>TPR($C$1,$A303,dr)</f>
        <v>0.31752844969426175</v>
      </c>
      <c r="D303" s="33">
        <f t="shared" si="48"/>
        <v>0.33040276017602299</v>
      </c>
      <c r="E303" s="33">
        <f t="shared" si="49"/>
        <v>0.3356653107401622</v>
      </c>
      <c r="F303" s="33">
        <f t="shared" si="50"/>
        <v>0.3411580096050324</v>
      </c>
      <c r="G303" s="33">
        <f t="shared" si="51"/>
        <v>0.34713694865699601</v>
      </c>
      <c r="H303" s="33">
        <f t="shared" si="52"/>
        <v>0.35338392047513484</v>
      </c>
      <c r="I303" s="33">
        <f t="shared" si="53"/>
        <v>0.36645870298812877</v>
      </c>
      <c r="J303" s="33">
        <f t="shared" si="54"/>
        <v>0.37938966710477157</v>
      </c>
      <c r="K303" s="33">
        <f t="shared" si="55"/>
        <v>0.39592043799188004</v>
      </c>
      <c r="L303" s="33">
        <f t="shared" si="56"/>
        <v>0.41974225721435343</v>
      </c>
      <c r="M303" s="33">
        <f t="shared" si="57"/>
        <v>0.43986992841389072</v>
      </c>
      <c r="N303" s="33">
        <f t="shared" si="58"/>
        <v>0.45540994249517136</v>
      </c>
      <c r="O303" s="33">
        <f t="shared" si="59"/>
        <v>0.47923513971505322</v>
      </c>
    </row>
    <row r="304" spans="1:15" x14ac:dyDescent="0.25">
      <c r="A304" s="2">
        <v>302</v>
      </c>
      <c r="B304" s="33">
        <f>TPR($B$1,$A304,dr)</f>
        <v>0.305115276705134</v>
      </c>
      <c r="C304" s="33">
        <f>TPR($C$1,$A304,dr)</f>
        <v>0.3160595194152076</v>
      </c>
      <c r="D304" s="33">
        <f t="shared" si="48"/>
        <v>0.32884607205161687</v>
      </c>
      <c r="E304" s="33">
        <f t="shared" si="49"/>
        <v>0.33398736200624574</v>
      </c>
      <c r="F304" s="33">
        <f t="shared" si="50"/>
        <v>0.33968966883382351</v>
      </c>
      <c r="G304" s="33">
        <f t="shared" si="51"/>
        <v>0.34575752437987478</v>
      </c>
      <c r="H304" s="33">
        <f t="shared" si="52"/>
        <v>0.3519043788577696</v>
      </c>
      <c r="I304" s="33">
        <f t="shared" si="53"/>
        <v>0.36499843331950166</v>
      </c>
      <c r="J304" s="33">
        <f t="shared" si="54"/>
        <v>0.37795051496193804</v>
      </c>
      <c r="K304" s="33">
        <f t="shared" si="55"/>
        <v>0.3943867787481119</v>
      </c>
      <c r="L304" s="33">
        <f t="shared" si="56"/>
        <v>0.41805377155903423</v>
      </c>
      <c r="M304" s="33">
        <f t="shared" si="57"/>
        <v>0.43833108147276995</v>
      </c>
      <c r="N304" s="33">
        <f t="shared" si="58"/>
        <v>0.45393967646073835</v>
      </c>
      <c r="O304" s="33">
        <f t="shared" si="59"/>
        <v>0.47765215671363936</v>
      </c>
    </row>
    <row r="305" spans="1:15" x14ac:dyDescent="0.25">
      <c r="A305" s="2">
        <v>303</v>
      </c>
      <c r="B305" s="33">
        <f>TPR($B$1,$A305,dr)</f>
        <v>0.3034824012545197</v>
      </c>
      <c r="C305" s="33">
        <f>TPR($C$1,$A305,dr)</f>
        <v>0.31445583548183481</v>
      </c>
      <c r="D305" s="33">
        <f t="shared" si="48"/>
        <v>0.32729724867584731</v>
      </c>
      <c r="E305" s="33">
        <f t="shared" si="49"/>
        <v>0.33245714465680876</v>
      </c>
      <c r="F305" s="33">
        <f t="shared" si="50"/>
        <v>0.3381752208870078</v>
      </c>
      <c r="G305" s="33">
        <f t="shared" si="51"/>
        <v>0.34432821529898139</v>
      </c>
      <c r="H305" s="33">
        <f t="shared" si="52"/>
        <v>0.35054841600995157</v>
      </c>
      <c r="I305" s="33">
        <f t="shared" si="53"/>
        <v>0.36347460431125056</v>
      </c>
      <c r="J305" s="33">
        <f t="shared" si="54"/>
        <v>0.37639870630256472</v>
      </c>
      <c r="K305" s="33">
        <f t="shared" si="55"/>
        <v>0.39280584272828428</v>
      </c>
      <c r="L305" s="33">
        <f t="shared" si="56"/>
        <v>0.41652086662024257</v>
      </c>
      <c r="M305" s="33">
        <f t="shared" si="57"/>
        <v>0.43681362788374006</v>
      </c>
      <c r="N305" s="33">
        <f t="shared" si="58"/>
        <v>0.45246348885255561</v>
      </c>
      <c r="O305" s="33">
        <f t="shared" si="59"/>
        <v>0.47605067663189848</v>
      </c>
    </row>
    <row r="306" spans="1:15" x14ac:dyDescent="0.25">
      <c r="A306" s="2">
        <v>304</v>
      </c>
      <c r="B306" s="33">
        <f>TPR($B$1,$A306,dr)</f>
        <v>0.30184348821348406</v>
      </c>
      <c r="C306" s="33">
        <f>TPR($C$1,$A306,dr)</f>
        <v>0.31295828184683083</v>
      </c>
      <c r="D306" s="33">
        <f t="shared" si="48"/>
        <v>0.32611152595669057</v>
      </c>
      <c r="E306" s="33">
        <f t="shared" si="49"/>
        <v>0.33128689866500949</v>
      </c>
      <c r="F306" s="33">
        <f t="shared" si="50"/>
        <v>0.33679974325975165</v>
      </c>
      <c r="G306" s="33">
        <f t="shared" si="51"/>
        <v>0.34289194226490027</v>
      </c>
      <c r="H306" s="33">
        <f t="shared" si="52"/>
        <v>0.34921480404793798</v>
      </c>
      <c r="I306" s="33">
        <f t="shared" si="53"/>
        <v>0.36188271353782614</v>
      </c>
      <c r="J306" s="33">
        <f t="shared" si="54"/>
        <v>0.37477153266723467</v>
      </c>
      <c r="K306" s="33">
        <f t="shared" si="55"/>
        <v>0.39108645699389505</v>
      </c>
      <c r="L306" s="33">
        <f t="shared" si="56"/>
        <v>0.41513367523584588</v>
      </c>
      <c r="M306" s="33">
        <f t="shared" si="57"/>
        <v>0.43517314642049931</v>
      </c>
      <c r="N306" s="33">
        <f t="shared" si="58"/>
        <v>0.45080673174263841</v>
      </c>
      <c r="O306" s="33">
        <f t="shared" si="59"/>
        <v>0.4746056837835213</v>
      </c>
    </row>
    <row r="307" spans="1:15" x14ac:dyDescent="0.25">
      <c r="A307" s="2">
        <v>305</v>
      </c>
      <c r="B307" s="33">
        <f>TPR($B$1,$A307,dr)</f>
        <v>0.3001985302849956</v>
      </c>
      <c r="C307" s="33">
        <f>TPR($C$1,$A307,dr)</f>
        <v>0.31139800044715116</v>
      </c>
      <c r="D307" s="33">
        <f t="shared" si="48"/>
        <v>0.32473633588490003</v>
      </c>
      <c r="E307" s="33">
        <f t="shared" si="49"/>
        <v>0.32992883038726362</v>
      </c>
      <c r="F307" s="33">
        <f t="shared" si="50"/>
        <v>0.33534843247827301</v>
      </c>
      <c r="G307" s="33">
        <f t="shared" si="51"/>
        <v>0.34138294559399013</v>
      </c>
      <c r="H307" s="33">
        <f t="shared" si="52"/>
        <v>0.34774466729205428</v>
      </c>
      <c r="I307" s="33">
        <f t="shared" si="53"/>
        <v>0.36046563064203163</v>
      </c>
      <c r="J307" s="33">
        <f t="shared" si="54"/>
        <v>0.37320970396318315</v>
      </c>
      <c r="K307" s="33">
        <f t="shared" si="55"/>
        <v>0.38962589816456356</v>
      </c>
      <c r="L307" s="33">
        <f t="shared" si="56"/>
        <v>0.41341425536252197</v>
      </c>
      <c r="M307" s="33">
        <f t="shared" si="57"/>
        <v>0.43346930804491585</v>
      </c>
      <c r="N307" s="33">
        <f t="shared" si="58"/>
        <v>0.4490389770761305</v>
      </c>
      <c r="O307" s="33">
        <f t="shared" si="59"/>
        <v>0.473004983419823</v>
      </c>
    </row>
    <row r="308" spans="1:15" x14ac:dyDescent="0.25">
      <c r="A308" s="2">
        <v>306</v>
      </c>
      <c r="B308" s="33">
        <f>TPR($B$1,$A308,dr)</f>
        <v>0.29873729665365828</v>
      </c>
      <c r="C308" s="33">
        <f>TPR($C$1,$A308,dr)</f>
        <v>0.30996271521341162</v>
      </c>
      <c r="D308" s="33">
        <f t="shared" si="48"/>
        <v>0.32335585923260818</v>
      </c>
      <c r="E308" s="33">
        <f t="shared" si="49"/>
        <v>0.32856552924242066</v>
      </c>
      <c r="F308" s="33">
        <f t="shared" si="50"/>
        <v>0.33389288467137596</v>
      </c>
      <c r="G308" s="33">
        <f t="shared" si="51"/>
        <v>0.33986825171271223</v>
      </c>
      <c r="H308" s="33">
        <f t="shared" si="52"/>
        <v>0.34624461093355929</v>
      </c>
      <c r="I308" s="33">
        <f t="shared" si="53"/>
        <v>0.35886627604925392</v>
      </c>
      <c r="J308" s="33">
        <f t="shared" si="54"/>
        <v>0.37178243107769493</v>
      </c>
      <c r="K308" s="33">
        <f t="shared" si="55"/>
        <v>0.38811782652065824</v>
      </c>
      <c r="L308" s="33">
        <f t="shared" si="56"/>
        <v>0.41168832075513162</v>
      </c>
      <c r="M308" s="33">
        <f t="shared" si="57"/>
        <v>0.43175898782330485</v>
      </c>
      <c r="N308" s="33">
        <f t="shared" si="58"/>
        <v>0.44726566670754409</v>
      </c>
      <c r="O308" s="33">
        <f t="shared" si="59"/>
        <v>0.47155034011915237</v>
      </c>
    </row>
    <row r="309" spans="1:15" x14ac:dyDescent="0.25">
      <c r="A309" s="2">
        <v>307</v>
      </c>
      <c r="B309" s="33">
        <f>TPR($B$1,$A309,dr)</f>
        <v>0.29727058316995031</v>
      </c>
      <c r="C309" s="33">
        <f>TPR($C$1,$A309,dr)</f>
        <v>0.30852202766164399</v>
      </c>
      <c r="D309" s="33">
        <f t="shared" si="48"/>
        <v>0.32197008957660217</v>
      </c>
      <c r="E309" s="33">
        <f t="shared" si="49"/>
        <v>0.32719698888372145</v>
      </c>
      <c r="F309" s="33">
        <f t="shared" si="50"/>
        <v>0.33254073893823299</v>
      </c>
      <c r="G309" s="33">
        <f t="shared" si="51"/>
        <v>0.33846459020054026</v>
      </c>
      <c r="H309" s="33">
        <f t="shared" si="52"/>
        <v>0.34473887005302001</v>
      </c>
      <c r="I309" s="33">
        <f t="shared" si="53"/>
        <v>0.35749641795149784</v>
      </c>
      <c r="J309" s="33">
        <f t="shared" si="54"/>
        <v>0.37028255473616933</v>
      </c>
      <c r="K309" s="33">
        <f t="shared" si="55"/>
        <v>0.38651445274298024</v>
      </c>
      <c r="L309" s="33">
        <f t="shared" si="56"/>
        <v>0.40996651179447885</v>
      </c>
      <c r="M309" s="33">
        <f t="shared" si="57"/>
        <v>0.43018737620983677</v>
      </c>
      <c r="N309" s="33">
        <f t="shared" si="58"/>
        <v>0.44566222998520766</v>
      </c>
      <c r="O309" s="33">
        <f t="shared" si="59"/>
        <v>0.47009138865939043</v>
      </c>
    </row>
    <row r="310" spans="1:15" x14ac:dyDescent="0.25">
      <c r="A310" s="2">
        <v>308</v>
      </c>
      <c r="B310" s="33">
        <f>TPR($B$1,$A310,dr)</f>
        <v>0.29598873953210897</v>
      </c>
      <c r="C310" s="33">
        <f>TPR($C$1,$A310,dr)</f>
        <v>0.30715337713762403</v>
      </c>
      <c r="D310" s="33">
        <f t="shared" si="48"/>
        <v>0.32040421217973031</v>
      </c>
      <c r="E310" s="33">
        <f t="shared" si="49"/>
        <v>0.32579057433712072</v>
      </c>
      <c r="F310" s="33">
        <f t="shared" si="50"/>
        <v>0.33118339396371488</v>
      </c>
      <c r="G310" s="33">
        <f t="shared" si="51"/>
        <v>0.33712087406367064</v>
      </c>
      <c r="H310" s="33">
        <f t="shared" si="52"/>
        <v>0.34340814170763301</v>
      </c>
      <c r="I310" s="33">
        <f t="shared" si="53"/>
        <v>0.35606705589682203</v>
      </c>
      <c r="J310" s="33">
        <f t="shared" si="54"/>
        <v>0.36870582617443198</v>
      </c>
      <c r="K310" s="33">
        <f t="shared" si="55"/>
        <v>0.38490503075876142</v>
      </c>
      <c r="L310" s="33">
        <f t="shared" si="56"/>
        <v>0.40855945610125494</v>
      </c>
      <c r="M310" s="33">
        <f t="shared" si="57"/>
        <v>0.42852625103592185</v>
      </c>
      <c r="N310" s="33">
        <f t="shared" si="58"/>
        <v>0.44398121175759275</v>
      </c>
      <c r="O310" s="33">
        <f t="shared" si="59"/>
        <v>0.46863828543588332</v>
      </c>
    </row>
    <row r="311" spans="1:15" x14ac:dyDescent="0.25">
      <c r="A311" s="2">
        <v>309</v>
      </c>
      <c r="B311" s="33">
        <f>TPR($B$1,$A311,dr)</f>
        <v>0.29451133669948254</v>
      </c>
      <c r="C311" s="33">
        <f>TPR($C$1,$A311,dr)</f>
        <v>0.30575745948686589</v>
      </c>
      <c r="D311" s="33">
        <f t="shared" si="48"/>
        <v>0.31918264556059944</v>
      </c>
      <c r="E311" s="33">
        <f t="shared" si="49"/>
        <v>0.32444416513771857</v>
      </c>
      <c r="F311" s="33">
        <f t="shared" si="50"/>
        <v>0.32971415610225763</v>
      </c>
      <c r="G311" s="33">
        <f t="shared" si="51"/>
        <v>0.33565341332100518</v>
      </c>
      <c r="H311" s="33">
        <f t="shared" si="52"/>
        <v>0.34205207739410398</v>
      </c>
      <c r="I311" s="33">
        <f t="shared" si="53"/>
        <v>0.35456953674163205</v>
      </c>
      <c r="J311" s="33">
        <f t="shared" si="54"/>
        <v>0.36712443242539777</v>
      </c>
      <c r="K311" s="33">
        <f t="shared" si="55"/>
        <v>0.38341908086100995</v>
      </c>
      <c r="L311" s="33">
        <f t="shared" si="56"/>
        <v>0.40715836813206824</v>
      </c>
      <c r="M311" s="33">
        <f t="shared" si="57"/>
        <v>0.42700547168189984</v>
      </c>
      <c r="N311" s="33">
        <f t="shared" si="58"/>
        <v>0.4424696650919665</v>
      </c>
      <c r="O311" s="33">
        <f t="shared" si="59"/>
        <v>0.46685909874264198</v>
      </c>
    </row>
    <row r="312" spans="1:15" x14ac:dyDescent="0.25">
      <c r="A312" s="2">
        <v>310</v>
      </c>
      <c r="B312" s="33">
        <f>TPR($B$1,$A312,dr)</f>
        <v>0.29341030846792798</v>
      </c>
      <c r="C312" s="33">
        <f>TPR($C$1,$A312,dr)</f>
        <v>0.30462277258403819</v>
      </c>
      <c r="D312" s="33">
        <f t="shared" si="48"/>
        <v>0.31795716743927277</v>
      </c>
      <c r="E312" s="33">
        <f t="shared" si="49"/>
        <v>0.32309367361382901</v>
      </c>
      <c r="F312" s="33">
        <f t="shared" si="50"/>
        <v>0.32834687280317437</v>
      </c>
      <c r="G312" s="33">
        <f t="shared" si="51"/>
        <v>0.33423591148352916</v>
      </c>
      <c r="H312" s="33">
        <f t="shared" si="52"/>
        <v>0.34054997544410487</v>
      </c>
      <c r="I312" s="33">
        <f t="shared" si="53"/>
        <v>0.3531323510434316</v>
      </c>
      <c r="J312" s="33">
        <f t="shared" si="54"/>
        <v>0.36564219711602425</v>
      </c>
      <c r="K312" s="33">
        <f t="shared" si="55"/>
        <v>0.3819747701903865</v>
      </c>
      <c r="L312" s="33">
        <f t="shared" si="56"/>
        <v>0.40574313881234841</v>
      </c>
      <c r="M312" s="33">
        <f t="shared" si="57"/>
        <v>0.42533553001960583</v>
      </c>
      <c r="N312" s="33">
        <f t="shared" si="58"/>
        <v>0.44087814950795334</v>
      </c>
      <c r="O312" s="33">
        <f t="shared" si="59"/>
        <v>0.46522803978101329</v>
      </c>
    </row>
    <row r="313" spans="1:15" x14ac:dyDescent="0.25">
      <c r="A313" s="2">
        <v>311</v>
      </c>
      <c r="B313" s="33">
        <f>TPR($B$1,$A313,dr)</f>
        <v>0.29211370910099183</v>
      </c>
      <c r="C313" s="33">
        <f>TPR($C$1,$A313,dr)</f>
        <v>0.3033501907038918</v>
      </c>
      <c r="D313" s="33">
        <f t="shared" si="48"/>
        <v>0.3167373040214132</v>
      </c>
      <c r="E313" s="33">
        <f t="shared" si="49"/>
        <v>0.32188952841177637</v>
      </c>
      <c r="F313" s="33">
        <f t="shared" si="50"/>
        <v>0.3270519981581666</v>
      </c>
      <c r="G313" s="33">
        <f t="shared" si="51"/>
        <v>0.33281452575425974</v>
      </c>
      <c r="H313" s="33">
        <f t="shared" si="52"/>
        <v>0.33902197657382732</v>
      </c>
      <c r="I313" s="33">
        <f t="shared" si="53"/>
        <v>0.35162470642024923</v>
      </c>
      <c r="J313" s="33">
        <f t="shared" si="54"/>
        <v>0.36415434851287692</v>
      </c>
      <c r="K313" s="33">
        <f t="shared" si="55"/>
        <v>0.38052492269452465</v>
      </c>
      <c r="L313" s="33">
        <f t="shared" si="56"/>
        <v>0.40415586059936581</v>
      </c>
      <c r="M313" s="33">
        <f t="shared" si="57"/>
        <v>0.42362839632580279</v>
      </c>
      <c r="N313" s="33">
        <f t="shared" si="58"/>
        <v>0.43927919995074594</v>
      </c>
      <c r="O313" s="33">
        <f t="shared" si="59"/>
        <v>0.4637572375613172</v>
      </c>
    </row>
    <row r="314" spans="1:15" x14ac:dyDescent="0.25">
      <c r="A314" s="2">
        <v>312</v>
      </c>
      <c r="B314" s="33">
        <f>TPR($B$1,$A314,dr)</f>
        <v>0.29081217921709407</v>
      </c>
      <c r="C314" s="33">
        <f>TPR($C$1,$A314,dr)</f>
        <v>0.30196458920514524</v>
      </c>
      <c r="D314" s="33">
        <f t="shared" si="48"/>
        <v>0.3151574551043394</v>
      </c>
      <c r="E314" s="33">
        <f t="shared" si="49"/>
        <v>0.32061070488552373</v>
      </c>
      <c r="F314" s="33">
        <f t="shared" si="50"/>
        <v>0.32564816808184405</v>
      </c>
      <c r="G314" s="33">
        <f t="shared" si="51"/>
        <v>0.33126790490162061</v>
      </c>
      <c r="H314" s="33">
        <f t="shared" si="52"/>
        <v>0.33748825938880606</v>
      </c>
      <c r="I314" s="33">
        <f t="shared" si="53"/>
        <v>0.34999911683214002</v>
      </c>
      <c r="J314" s="33">
        <f t="shared" si="54"/>
        <v>0.36268714906834731</v>
      </c>
      <c r="K314" s="33">
        <f t="shared" si="55"/>
        <v>0.37899232795996984</v>
      </c>
      <c r="L314" s="33">
        <f t="shared" si="56"/>
        <v>0.40257201383871777</v>
      </c>
      <c r="M314" s="33">
        <f t="shared" si="57"/>
        <v>0.42205957363811181</v>
      </c>
      <c r="N314" s="33">
        <f t="shared" si="58"/>
        <v>0.4377482621215778</v>
      </c>
      <c r="O314" s="33">
        <f t="shared" si="59"/>
        <v>0.46228131328871674</v>
      </c>
    </row>
    <row r="315" spans="1:15" x14ac:dyDescent="0.25">
      <c r="A315" s="2">
        <v>313</v>
      </c>
      <c r="B315" s="33">
        <f>TPR($B$1,$A315,dr)</f>
        <v>0.28931390301873006</v>
      </c>
      <c r="C315" s="33">
        <f>TPR($C$1,$A315,dr)</f>
        <v>0.30049377136952843</v>
      </c>
      <c r="D315" s="33">
        <f t="shared" si="48"/>
        <v>0.31373965491358863</v>
      </c>
      <c r="E315" s="33">
        <f t="shared" si="49"/>
        <v>0.31921056498024991</v>
      </c>
      <c r="F315" s="33">
        <f t="shared" si="50"/>
        <v>0.3242672137021555</v>
      </c>
      <c r="G315" s="33">
        <f t="shared" si="51"/>
        <v>0.32983781596702177</v>
      </c>
      <c r="H315" s="33">
        <f t="shared" si="52"/>
        <v>0.33594881704757429</v>
      </c>
      <c r="I315" s="33">
        <f t="shared" si="53"/>
        <v>0.3484810551530475</v>
      </c>
      <c r="J315" s="33">
        <f t="shared" si="54"/>
        <v>0.36118684099024384</v>
      </c>
      <c r="K315" s="33">
        <f t="shared" si="55"/>
        <v>0.37753282657805076</v>
      </c>
      <c r="L315" s="33">
        <f t="shared" si="56"/>
        <v>0.40132111075551014</v>
      </c>
      <c r="M315" s="33">
        <f t="shared" si="57"/>
        <v>0.42055286445194306</v>
      </c>
      <c r="N315" s="33">
        <f t="shared" si="58"/>
        <v>0.43611048817420606</v>
      </c>
      <c r="O315" s="33">
        <f t="shared" si="59"/>
        <v>0.46046423370125061</v>
      </c>
    </row>
    <row r="316" spans="1:15" x14ac:dyDescent="0.25">
      <c r="A316" s="2">
        <v>314</v>
      </c>
      <c r="B316" s="33">
        <f>TPR($B$1,$A316,dr)</f>
        <v>0.28800220282758698</v>
      </c>
      <c r="C316" s="33">
        <f>TPR($C$1,$A316,dr)</f>
        <v>0.29915321264719047</v>
      </c>
      <c r="D316" s="33">
        <f t="shared" si="48"/>
        <v>0.31231651632790869</v>
      </c>
      <c r="E316" s="33">
        <f t="shared" si="49"/>
        <v>0.31780514101018131</v>
      </c>
      <c r="F316" s="33">
        <f t="shared" si="50"/>
        <v>0.32298531007493858</v>
      </c>
      <c r="G316" s="33">
        <f t="shared" si="51"/>
        <v>0.32858695639091839</v>
      </c>
      <c r="H316" s="33">
        <f t="shared" si="52"/>
        <v>0.33458599276859807</v>
      </c>
      <c r="I316" s="33">
        <f t="shared" si="53"/>
        <v>0.34713844481409972</v>
      </c>
      <c r="J316" s="33">
        <f t="shared" si="54"/>
        <v>0.35975899985081461</v>
      </c>
      <c r="K316" s="33">
        <f t="shared" si="55"/>
        <v>0.37606777074721437</v>
      </c>
      <c r="L316" s="33">
        <f t="shared" si="56"/>
        <v>0.39955637244763387</v>
      </c>
      <c r="M316" s="33">
        <f t="shared" si="57"/>
        <v>0.4189385405443794</v>
      </c>
      <c r="N316" s="33">
        <f t="shared" si="58"/>
        <v>0.43446764284692696</v>
      </c>
      <c r="O316" s="33">
        <f t="shared" si="59"/>
        <v>0.45864716116518151</v>
      </c>
    </row>
    <row r="317" spans="1:15" x14ac:dyDescent="0.25">
      <c r="A317" s="2">
        <v>315</v>
      </c>
      <c r="B317" s="33">
        <f>TPR($B$1,$A317,dr)</f>
        <v>0.28649316121428181</v>
      </c>
      <c r="C317" s="33">
        <f>TPR($C$1,$A317,dr)</f>
        <v>0.29767203286977095</v>
      </c>
      <c r="D317" s="33">
        <f t="shared" si="48"/>
        <v>0.31088018617146951</v>
      </c>
      <c r="E317" s="33">
        <f t="shared" si="49"/>
        <v>0.31624523926591536</v>
      </c>
      <c r="F317" s="33">
        <f t="shared" si="50"/>
        <v>0.32151273581253925</v>
      </c>
      <c r="G317" s="33">
        <f t="shared" si="51"/>
        <v>0.32720862092084863</v>
      </c>
      <c r="H317" s="33">
        <f t="shared" si="52"/>
        <v>0.33321797982212131</v>
      </c>
      <c r="I317" s="33">
        <f t="shared" si="53"/>
        <v>0.34568106163132234</v>
      </c>
      <c r="J317" s="33">
        <f t="shared" si="54"/>
        <v>0.35814668729657706</v>
      </c>
      <c r="K317" s="33">
        <f t="shared" si="55"/>
        <v>0.37454401833911494</v>
      </c>
      <c r="L317" s="33">
        <f t="shared" si="56"/>
        <v>0.39760597365041428</v>
      </c>
      <c r="M317" s="33">
        <f t="shared" si="57"/>
        <v>0.41713907401686889</v>
      </c>
      <c r="N317" s="33">
        <f t="shared" si="58"/>
        <v>0.43274207187100394</v>
      </c>
      <c r="O317" s="33">
        <f t="shared" si="59"/>
        <v>0.45697605928351237</v>
      </c>
    </row>
    <row r="318" spans="1:15" x14ac:dyDescent="0.25">
      <c r="A318" s="2">
        <v>316</v>
      </c>
      <c r="B318" s="33">
        <f>TPR($B$1,$A318,dr)</f>
        <v>0.28536395052806718</v>
      </c>
      <c r="C318" s="33">
        <f>TPR($C$1,$A318,dr)</f>
        <v>0.29651203318683339</v>
      </c>
      <c r="D318" s="33">
        <f t="shared" si="48"/>
        <v>0.3096272059249261</v>
      </c>
      <c r="E318" s="33">
        <f t="shared" si="49"/>
        <v>0.31486689365418979</v>
      </c>
      <c r="F318" s="33">
        <f t="shared" si="50"/>
        <v>0.32011481685841442</v>
      </c>
      <c r="G318" s="33">
        <f t="shared" si="51"/>
        <v>0.32588369346851875</v>
      </c>
      <c r="H318" s="33">
        <f t="shared" si="52"/>
        <v>0.33199876415146623</v>
      </c>
      <c r="I318" s="33">
        <f t="shared" si="53"/>
        <v>0.34414743567783596</v>
      </c>
      <c r="J318" s="33">
        <f t="shared" si="54"/>
        <v>0.35652967487158638</v>
      </c>
      <c r="K318" s="33">
        <f t="shared" si="55"/>
        <v>0.3728875592078908</v>
      </c>
      <c r="L318" s="33">
        <f t="shared" si="56"/>
        <v>0.39582619773289901</v>
      </c>
      <c r="M318" s="33">
        <f t="shared" si="57"/>
        <v>0.41551017986250899</v>
      </c>
      <c r="N318" s="33">
        <f t="shared" si="58"/>
        <v>0.43118778117172762</v>
      </c>
      <c r="O318" s="33">
        <f t="shared" si="59"/>
        <v>0.45529927845824814</v>
      </c>
    </row>
    <row r="319" spans="1:15" x14ac:dyDescent="0.25">
      <c r="A319" s="2">
        <v>317</v>
      </c>
      <c r="B319" s="33">
        <f>TPR($B$1,$A319,dr)</f>
        <v>0.28403738647909371</v>
      </c>
      <c r="C319" s="33">
        <f>TPR($C$1,$A319,dr)</f>
        <v>0.29526374557387902</v>
      </c>
      <c r="D319" s="33">
        <f t="shared" si="48"/>
        <v>0.30854441981689051</v>
      </c>
      <c r="E319" s="33">
        <f t="shared" si="49"/>
        <v>0.31337382018002075</v>
      </c>
      <c r="F319" s="33">
        <f t="shared" si="50"/>
        <v>0.31852662277478705</v>
      </c>
      <c r="G319" s="33">
        <f t="shared" si="51"/>
        <v>0.32436829021926872</v>
      </c>
      <c r="H319" s="33">
        <f t="shared" si="52"/>
        <v>0.33060864777598159</v>
      </c>
      <c r="I319" s="33">
        <f t="shared" si="53"/>
        <v>0.34260813368016058</v>
      </c>
      <c r="J319" s="33">
        <f t="shared" si="54"/>
        <v>0.35490795831647054</v>
      </c>
      <c r="K319" s="33">
        <f t="shared" si="55"/>
        <v>0.37110015342705693</v>
      </c>
      <c r="L319" s="33">
        <f t="shared" si="56"/>
        <v>0.39421118293717283</v>
      </c>
      <c r="M319" s="33">
        <f t="shared" si="57"/>
        <v>0.41391044499403967</v>
      </c>
      <c r="N319" s="33">
        <f t="shared" si="58"/>
        <v>0.42962746906159177</v>
      </c>
      <c r="O319" s="33">
        <f t="shared" si="59"/>
        <v>0.45379407446568554</v>
      </c>
    </row>
    <row r="320" spans="1:15" x14ac:dyDescent="0.25">
      <c r="A320" s="2">
        <v>318</v>
      </c>
      <c r="B320" s="33">
        <f>TPR($B$1,$A320,dr)</f>
        <v>0.28289912472081241</v>
      </c>
      <c r="C320" s="33">
        <f>TPR($C$1,$A320,dr)</f>
        <v>0.29404273115854723</v>
      </c>
      <c r="D320" s="33">
        <f t="shared" si="48"/>
        <v>0.30710283386637721</v>
      </c>
      <c r="E320" s="33">
        <f t="shared" si="49"/>
        <v>0.31194961023135598</v>
      </c>
      <c r="F320" s="33">
        <f t="shared" si="50"/>
        <v>0.31691321894829516</v>
      </c>
      <c r="G320" s="33">
        <f t="shared" si="51"/>
        <v>0.32266157229735859</v>
      </c>
      <c r="H320" s="33">
        <f t="shared" si="52"/>
        <v>0.32904433050438231</v>
      </c>
      <c r="I320" s="33">
        <f t="shared" si="53"/>
        <v>0.34117014022619391</v>
      </c>
      <c r="J320" s="33">
        <f t="shared" si="54"/>
        <v>0.35346266209041188</v>
      </c>
      <c r="K320" s="33">
        <f t="shared" si="55"/>
        <v>0.36961200849654718</v>
      </c>
      <c r="L320" s="33">
        <f t="shared" si="56"/>
        <v>0.39276293056106809</v>
      </c>
      <c r="M320" s="33">
        <f t="shared" si="57"/>
        <v>0.41234156729791471</v>
      </c>
      <c r="N320" s="33">
        <f t="shared" si="58"/>
        <v>0.42806112833809312</v>
      </c>
      <c r="O320" s="33">
        <f t="shared" si="59"/>
        <v>0.45211237931774256</v>
      </c>
    </row>
    <row r="321" spans="1:15" x14ac:dyDescent="0.25">
      <c r="A321" s="2">
        <v>319</v>
      </c>
      <c r="B321" s="33">
        <f>TPR($B$1,$A321,dr)</f>
        <v>0.28175647536843584</v>
      </c>
      <c r="C321" s="33">
        <f>TPR($C$1,$A321,dr)</f>
        <v>0.29281839000893206</v>
      </c>
      <c r="D321" s="33">
        <f t="shared" si="48"/>
        <v>0.30565588126137216</v>
      </c>
      <c r="E321" s="33">
        <f t="shared" si="49"/>
        <v>0.31052008829469824</v>
      </c>
      <c r="F321" s="33">
        <f t="shared" si="50"/>
        <v>0.31539835418516982</v>
      </c>
      <c r="G321" s="33">
        <f t="shared" si="51"/>
        <v>0.32101841312340651</v>
      </c>
      <c r="H321" s="33">
        <f t="shared" si="52"/>
        <v>0.32730250343806172</v>
      </c>
      <c r="I321" s="33">
        <f t="shared" si="53"/>
        <v>0.33972467801867506</v>
      </c>
      <c r="J321" s="33">
        <f t="shared" si="54"/>
        <v>0.35201319559849847</v>
      </c>
      <c r="K321" s="33">
        <f t="shared" si="55"/>
        <v>0.36811827547420778</v>
      </c>
      <c r="L321" s="33">
        <f t="shared" si="56"/>
        <v>0.39130994435032018</v>
      </c>
      <c r="M321" s="33">
        <f t="shared" si="57"/>
        <v>0.41076778434694844</v>
      </c>
      <c r="N321" s="33">
        <f t="shared" si="58"/>
        <v>0.42639071113941146</v>
      </c>
      <c r="O321" s="33">
        <f t="shared" si="59"/>
        <v>0.45042418794503397</v>
      </c>
    </row>
    <row r="322" spans="1:15" x14ac:dyDescent="0.25">
      <c r="A322" s="2">
        <v>320</v>
      </c>
      <c r="B322" s="33">
        <f>TPR($B$1,$A322,dr)</f>
        <v>0.28060943311503239</v>
      </c>
      <c r="C322" s="33">
        <f>TPR($C$1,$A322,dr)</f>
        <v>0.29159071951722121</v>
      </c>
      <c r="D322" s="33">
        <f t="shared" ref="D322:D352" si="60">TPR($D$1,$A322,dr)</f>
        <v>0.30420355557866308</v>
      </c>
      <c r="E322" s="33">
        <f t="shared" ref="E322:E352" si="61">TPR($E$1,$A322,dr)</f>
        <v>0.30908524802328846</v>
      </c>
      <c r="F322" s="33">
        <f t="shared" ref="F322:F352" si="62">TPR($F$1,$A322,dr)</f>
        <v>0.3140819372451274</v>
      </c>
      <c r="G322" s="33">
        <f t="shared" ref="G322:G352" si="63">TPR($G$1,$A322,dr)</f>
        <v>0.31974034381210054</v>
      </c>
      <c r="H322" s="33">
        <f t="shared" ref="H322:H352" si="64">TPR($H$1,$A322,dr)</f>
        <v>0.32590955654803067</v>
      </c>
      <c r="I322" s="33">
        <f t="shared" ref="I322:I352" si="65">TPR($I$1,$A322,dr)</f>
        <v>0.33824405682491726</v>
      </c>
      <c r="J322" s="33">
        <f t="shared" ref="J322:J352" si="66">TPR($J$1,$A322,dr)</f>
        <v>0.35037788388544533</v>
      </c>
      <c r="K322" s="33">
        <f t="shared" ref="K322:K352" si="67">TPR($K$1,$A322,dr)</f>
        <v>0.36643845624784699</v>
      </c>
      <c r="L322" s="33">
        <f t="shared" ref="L322:L352" si="68">TPR($L$1,$A322,dr)</f>
        <v>0.3896726017661632</v>
      </c>
      <c r="M322" s="33">
        <f t="shared" ref="M322:M352" si="69">TPR($M$1,$A322,dr)</f>
        <v>0.40900976568334563</v>
      </c>
      <c r="N322" s="33">
        <f t="shared" ref="N322:N352" si="70">TPR($N$1,$A322,dr)</f>
        <v>0.42473143589693574</v>
      </c>
      <c r="O322" s="33">
        <f t="shared" ref="O322:O352" si="71">TPR($O$1,$A322,dr)</f>
        <v>0.44890755342461092</v>
      </c>
    </row>
    <row r="323" spans="1:15" x14ac:dyDescent="0.25">
      <c r="A323" s="2">
        <v>321</v>
      </c>
      <c r="B323" s="33">
        <f>TPR($B$1,$A323,dr)</f>
        <v>0.27945799265367016</v>
      </c>
      <c r="C323" s="33">
        <f>TPR($C$1,$A323,dr)</f>
        <v>0.29041155742299501</v>
      </c>
      <c r="D323" s="33">
        <f t="shared" si="60"/>
        <v>0.30293512750229479</v>
      </c>
      <c r="E323" s="33">
        <f t="shared" si="61"/>
        <v>0.30783271645426324</v>
      </c>
      <c r="F323" s="33">
        <f t="shared" si="62"/>
        <v>0.31284451975878075</v>
      </c>
      <c r="G323" s="33">
        <f t="shared" si="63"/>
        <v>0.31851423641137072</v>
      </c>
      <c r="H323" s="33">
        <f t="shared" si="64"/>
        <v>0.32468534273211225</v>
      </c>
      <c r="I323" s="33">
        <f t="shared" si="65"/>
        <v>0.33676006057007418</v>
      </c>
      <c r="J323" s="33">
        <f t="shared" si="66"/>
        <v>0.34893508247404459</v>
      </c>
      <c r="K323" s="33">
        <f t="shared" si="67"/>
        <v>0.36499155434490366</v>
      </c>
      <c r="L323" s="33">
        <f t="shared" si="68"/>
        <v>0.38821490428319932</v>
      </c>
      <c r="M323" s="33">
        <f t="shared" si="69"/>
        <v>0.4075668763648021</v>
      </c>
      <c r="N323" s="33">
        <f t="shared" si="70"/>
        <v>0.42313166157484028</v>
      </c>
      <c r="O323" s="33">
        <f t="shared" si="71"/>
        <v>0.4473849406365224</v>
      </c>
    </row>
    <row r="324" spans="1:15" x14ac:dyDescent="0.25">
      <c r="A324" s="2">
        <v>322</v>
      </c>
      <c r="B324" s="33">
        <f>TPR($B$1,$A324,dr)</f>
        <v>0.27810770862796597</v>
      </c>
      <c r="C324" s="33">
        <f>TPR($C$1,$A324,dr)</f>
        <v>0.28908855790890203</v>
      </c>
      <c r="D324" s="33">
        <f t="shared" si="60"/>
        <v>0.30166188311559988</v>
      </c>
      <c r="E324" s="33">
        <f t="shared" si="61"/>
        <v>0.30657541761194707</v>
      </c>
      <c r="F324" s="33">
        <f t="shared" si="62"/>
        <v>0.31170277203592012</v>
      </c>
      <c r="G324" s="33">
        <f t="shared" si="63"/>
        <v>0.31741410159629913</v>
      </c>
      <c r="H324" s="33">
        <f t="shared" si="64"/>
        <v>0.32345811176644651</v>
      </c>
      <c r="I324" s="33">
        <f t="shared" si="65"/>
        <v>0.33537611162657188</v>
      </c>
      <c r="J324" s="33">
        <f t="shared" si="66"/>
        <v>0.34756971905625966</v>
      </c>
      <c r="K324" s="33">
        <f t="shared" si="67"/>
        <v>0.36354077293636683</v>
      </c>
      <c r="L324" s="33">
        <f t="shared" si="68"/>
        <v>0.38674701428177549</v>
      </c>
      <c r="M324" s="33">
        <f t="shared" si="69"/>
        <v>0.40597777682024122</v>
      </c>
      <c r="N324" s="33">
        <f t="shared" si="70"/>
        <v>0.421445447850054</v>
      </c>
      <c r="O324" s="33">
        <f t="shared" si="71"/>
        <v>0.44586093515014213</v>
      </c>
    </row>
    <row r="325" spans="1:15" x14ac:dyDescent="0.25">
      <c r="A325" s="2">
        <v>323</v>
      </c>
      <c r="B325" s="33">
        <f>TPR($B$1,$A325,dr)</f>
        <v>0.2769471624773639</v>
      </c>
      <c r="C325" s="33">
        <f>TPR($C$1,$A325,dr)</f>
        <v>0.28790117895879069</v>
      </c>
      <c r="D325" s="33">
        <f t="shared" si="60"/>
        <v>0.3003838166376876</v>
      </c>
      <c r="E325" s="33">
        <f t="shared" si="61"/>
        <v>0.30531334578425712</v>
      </c>
      <c r="F325" s="33">
        <f t="shared" si="62"/>
        <v>0.31035550374278159</v>
      </c>
      <c r="G325" s="33">
        <f t="shared" si="63"/>
        <v>0.31610195005793817</v>
      </c>
      <c r="H325" s="33">
        <f t="shared" si="64"/>
        <v>0.32241269508092579</v>
      </c>
      <c r="I325" s="33">
        <f t="shared" si="65"/>
        <v>0.33406802556259019</v>
      </c>
      <c r="J325" s="33">
        <f t="shared" si="66"/>
        <v>0.34619920968163986</v>
      </c>
      <c r="K325" s="33">
        <f t="shared" si="67"/>
        <v>0.36208610901660393</v>
      </c>
      <c r="L325" s="33">
        <f t="shared" si="68"/>
        <v>0.38527859845952667</v>
      </c>
      <c r="M325" s="33">
        <f t="shared" si="69"/>
        <v>0.40452412594839043</v>
      </c>
      <c r="N325" s="33">
        <f t="shared" si="70"/>
        <v>0.42002997231610545</v>
      </c>
      <c r="O325" s="33">
        <f t="shared" si="71"/>
        <v>0.44450061326481266</v>
      </c>
    </row>
    <row r="326" spans="1:15" x14ac:dyDescent="0.25">
      <c r="A326" s="2">
        <v>324</v>
      </c>
      <c r="B326" s="33">
        <f>TPR($B$1,$A326,dr)</f>
        <v>0.275392148025631</v>
      </c>
      <c r="C326" s="33">
        <f>TPR($C$1,$A326,dr)</f>
        <v>0.28637670556974948</v>
      </c>
      <c r="D326" s="33">
        <f t="shared" si="60"/>
        <v>0.29891481182690427</v>
      </c>
      <c r="E326" s="33">
        <f t="shared" si="61"/>
        <v>0.30400436435946621</v>
      </c>
      <c r="F326" s="33">
        <f t="shared" si="62"/>
        <v>0.30900447964317523</v>
      </c>
      <c r="G326" s="33">
        <f t="shared" si="63"/>
        <v>0.31467519489056067</v>
      </c>
      <c r="H326" s="33">
        <f t="shared" si="64"/>
        <v>0.3210102497953492</v>
      </c>
      <c r="I326" s="33">
        <f t="shared" si="65"/>
        <v>0.33285873657039555</v>
      </c>
      <c r="J326" s="33">
        <f t="shared" si="66"/>
        <v>0.34481195328920494</v>
      </c>
      <c r="K326" s="33">
        <f t="shared" si="67"/>
        <v>0.36056666692383738</v>
      </c>
      <c r="L326" s="33">
        <f t="shared" si="68"/>
        <v>0.38398530278009635</v>
      </c>
      <c r="M326" s="33">
        <f t="shared" si="69"/>
        <v>0.40324532583593237</v>
      </c>
      <c r="N326" s="33">
        <f t="shared" si="70"/>
        <v>0.41878893215760443</v>
      </c>
      <c r="O326" s="33">
        <f t="shared" si="71"/>
        <v>0.44313941903410164</v>
      </c>
    </row>
    <row r="327" spans="1:15" x14ac:dyDescent="0.25">
      <c r="A327" s="2">
        <v>325</v>
      </c>
      <c r="B327" s="33">
        <f>TPR($B$1,$A327,dr)</f>
        <v>0.2740268595084035</v>
      </c>
      <c r="C327" s="33">
        <f>TPR($C$1,$A327,dr)</f>
        <v>0.28503917945738533</v>
      </c>
      <c r="D327" s="33">
        <f t="shared" si="60"/>
        <v>0.29762996364624683</v>
      </c>
      <c r="E327" s="33">
        <f t="shared" si="61"/>
        <v>0.30287815850966876</v>
      </c>
      <c r="F327" s="33">
        <f t="shared" si="62"/>
        <v>0.30773802925527355</v>
      </c>
      <c r="G327" s="33">
        <f t="shared" si="63"/>
        <v>0.3132431736496249</v>
      </c>
      <c r="H327" s="33">
        <f t="shared" si="64"/>
        <v>0.31959389715956088</v>
      </c>
      <c r="I327" s="33">
        <f t="shared" si="65"/>
        <v>0.33146070665138766</v>
      </c>
      <c r="J327" s="33">
        <f t="shared" si="66"/>
        <v>0.34343236845931796</v>
      </c>
      <c r="K327" s="33">
        <f t="shared" si="67"/>
        <v>0.35922343903420945</v>
      </c>
      <c r="L327" s="33">
        <f t="shared" si="68"/>
        <v>0.38250259191887437</v>
      </c>
      <c r="M327" s="33">
        <f t="shared" si="69"/>
        <v>0.40164108998621983</v>
      </c>
      <c r="N327" s="33">
        <f t="shared" si="70"/>
        <v>0.41718241601781936</v>
      </c>
      <c r="O327" s="33">
        <f t="shared" si="71"/>
        <v>0.44159335642812098</v>
      </c>
    </row>
    <row r="328" spans="1:15" x14ac:dyDescent="0.25">
      <c r="A328" s="2">
        <v>326</v>
      </c>
      <c r="B328" s="33">
        <f>TPR($B$1,$A328,dr)</f>
        <v>0.27246094276711336</v>
      </c>
      <c r="C328" s="33">
        <f>TPR($C$1,$A328,dr)</f>
        <v>0.2835545508010574</v>
      </c>
      <c r="D328" s="33">
        <f t="shared" si="60"/>
        <v>0.29633625282240106</v>
      </c>
      <c r="E328" s="33">
        <f t="shared" si="61"/>
        <v>0.30160081230492519</v>
      </c>
      <c r="F328" s="33">
        <f t="shared" si="62"/>
        <v>0.30657711728026621</v>
      </c>
      <c r="G328" s="33">
        <f t="shared" si="63"/>
        <v>0.31212675475795298</v>
      </c>
      <c r="H328" s="33">
        <f t="shared" si="64"/>
        <v>0.31835179678255698</v>
      </c>
      <c r="I328" s="33">
        <f t="shared" si="65"/>
        <v>0.33015732518749513</v>
      </c>
      <c r="J328" s="33">
        <f t="shared" si="66"/>
        <v>0.34203849751857923</v>
      </c>
      <c r="K328" s="33">
        <f t="shared" si="67"/>
        <v>0.35781249053906866</v>
      </c>
      <c r="L328" s="33">
        <f t="shared" si="68"/>
        <v>0.3810181189579378</v>
      </c>
      <c r="M328" s="33">
        <f t="shared" si="69"/>
        <v>0.40017136602560166</v>
      </c>
      <c r="N328" s="33">
        <f t="shared" si="70"/>
        <v>0.41565558613486664</v>
      </c>
      <c r="O328" s="33">
        <f t="shared" si="71"/>
        <v>0.44003829945168732</v>
      </c>
    </row>
    <row r="329" spans="1:15" x14ac:dyDescent="0.25">
      <c r="A329" s="2">
        <v>327</v>
      </c>
      <c r="B329" s="33">
        <f>TPR($B$1,$A329,dr)</f>
        <v>0.27108532716703015</v>
      </c>
      <c r="C329" s="33">
        <f>TPR($C$1,$A329,dr)</f>
        <v>0.2823072572750206</v>
      </c>
      <c r="D329" s="33">
        <f t="shared" si="60"/>
        <v>0.29541420335631202</v>
      </c>
      <c r="E329" s="33">
        <f t="shared" si="61"/>
        <v>0.30040654220030916</v>
      </c>
      <c r="F329" s="33">
        <f t="shared" si="62"/>
        <v>0.30531253109643125</v>
      </c>
      <c r="G329" s="33">
        <f t="shared" si="63"/>
        <v>0.31082077451573153</v>
      </c>
      <c r="H329" s="33">
        <f t="shared" si="64"/>
        <v>0.31693669758801246</v>
      </c>
      <c r="I329" s="33">
        <f t="shared" si="65"/>
        <v>0.32891946226631003</v>
      </c>
      <c r="J329" s="33">
        <f t="shared" si="66"/>
        <v>0.3407455512485203</v>
      </c>
      <c r="K329" s="33">
        <f t="shared" si="67"/>
        <v>0.35652170445409759</v>
      </c>
      <c r="L329" s="33">
        <f t="shared" si="68"/>
        <v>0.37970695559740636</v>
      </c>
      <c r="M329" s="33">
        <f t="shared" si="69"/>
        <v>0.39873813327011476</v>
      </c>
      <c r="N329" s="33">
        <f t="shared" si="70"/>
        <v>0.41421841478740529</v>
      </c>
      <c r="O329" s="33">
        <f t="shared" si="71"/>
        <v>0.43848060659199534</v>
      </c>
    </row>
    <row r="330" spans="1:15" x14ac:dyDescent="0.25">
      <c r="A330" s="2">
        <v>328</v>
      </c>
      <c r="B330" s="33">
        <f>TPR($B$1,$A330,dr)</f>
        <v>0.26970468596745723</v>
      </c>
      <c r="C330" s="33">
        <f>TPR($C$1,$A330,dr)</f>
        <v>0.28100392498822335</v>
      </c>
      <c r="D330" s="33">
        <f t="shared" si="60"/>
        <v>0.29430580602894224</v>
      </c>
      <c r="E330" s="33">
        <f t="shared" si="61"/>
        <v>0.29945548451200815</v>
      </c>
      <c r="F330" s="33">
        <f t="shared" si="62"/>
        <v>0.30432193799797735</v>
      </c>
      <c r="G330" s="33">
        <f t="shared" si="63"/>
        <v>0.30969840564347817</v>
      </c>
      <c r="H330" s="33">
        <f t="shared" si="64"/>
        <v>0.31569023170918786</v>
      </c>
      <c r="I330" s="33">
        <f t="shared" si="65"/>
        <v>0.32759420708836828</v>
      </c>
      <c r="J330" s="33">
        <f t="shared" si="66"/>
        <v>0.33944646507619558</v>
      </c>
      <c r="K330" s="33">
        <f t="shared" si="67"/>
        <v>0.35522755724476884</v>
      </c>
      <c r="L330" s="33">
        <f t="shared" si="68"/>
        <v>0.37839155189418938</v>
      </c>
      <c r="M330" s="33">
        <f t="shared" si="69"/>
        <v>0.39730048629150705</v>
      </c>
      <c r="N330" s="33">
        <f t="shared" si="70"/>
        <v>0.41277568495420974</v>
      </c>
      <c r="O330" s="33">
        <f t="shared" si="71"/>
        <v>0.43709708672376069</v>
      </c>
    </row>
    <row r="331" spans="1:15" x14ac:dyDescent="0.25">
      <c r="A331" s="2">
        <v>329</v>
      </c>
      <c r="B331" s="33">
        <f>TPR($B$1,$A331,dr)</f>
        <v>0.2685155113588012</v>
      </c>
      <c r="C331" s="33">
        <f>TPR($C$1,$A331,dr)</f>
        <v>0.27983892282467854</v>
      </c>
      <c r="D331" s="33">
        <f t="shared" si="60"/>
        <v>0.29318851479713981</v>
      </c>
      <c r="E331" s="33">
        <f t="shared" si="61"/>
        <v>0.29821004523097489</v>
      </c>
      <c r="F331" s="33">
        <f t="shared" si="62"/>
        <v>0.303145836413099</v>
      </c>
      <c r="G331" s="33">
        <f t="shared" si="63"/>
        <v>0.30852317478318697</v>
      </c>
      <c r="H331" s="33">
        <f t="shared" si="64"/>
        <v>0.31425620087538175</v>
      </c>
      <c r="I331" s="33">
        <f t="shared" si="65"/>
        <v>0.32616897927972044</v>
      </c>
      <c r="J331" s="33">
        <f t="shared" si="66"/>
        <v>0.33795710750223273</v>
      </c>
      <c r="K331" s="33">
        <f t="shared" si="67"/>
        <v>0.35374712672722369</v>
      </c>
      <c r="L331" s="33">
        <f t="shared" si="68"/>
        <v>0.37707368448586909</v>
      </c>
      <c r="M331" s="33">
        <f t="shared" si="69"/>
        <v>0.39599694625648846</v>
      </c>
      <c r="N331" s="33">
        <f t="shared" si="70"/>
        <v>0.41132208746543736</v>
      </c>
      <c r="O331" s="33">
        <f t="shared" si="71"/>
        <v>0.43570806881071239</v>
      </c>
    </row>
    <row r="332" spans="1:15" x14ac:dyDescent="0.25">
      <c r="A332" s="2">
        <v>330</v>
      </c>
      <c r="B332" s="33">
        <f>TPR($B$1,$A332,dr)</f>
        <v>0.26732188901082266</v>
      </c>
      <c r="C332" s="33">
        <f>TPR($C$1,$A332,dr)</f>
        <v>0.27861997183190546</v>
      </c>
      <c r="D332" s="33">
        <f t="shared" si="60"/>
        <v>0.29187739137502711</v>
      </c>
      <c r="E332" s="33">
        <f t="shared" si="61"/>
        <v>0.29691525327721713</v>
      </c>
      <c r="F332" s="33">
        <f t="shared" si="62"/>
        <v>0.30186752381599347</v>
      </c>
      <c r="G332" s="33">
        <f t="shared" si="63"/>
        <v>0.30730694196285069</v>
      </c>
      <c r="H332" s="33">
        <f t="shared" si="64"/>
        <v>0.31318314812238784</v>
      </c>
      <c r="I332" s="33">
        <f t="shared" si="65"/>
        <v>0.32493515857877903</v>
      </c>
      <c r="J332" s="33">
        <f t="shared" si="66"/>
        <v>0.33664128322917219</v>
      </c>
      <c r="K332" s="33">
        <f t="shared" si="67"/>
        <v>0.35237986112270175</v>
      </c>
      <c r="L332" s="33">
        <f t="shared" si="68"/>
        <v>0.37574937754084964</v>
      </c>
      <c r="M332" s="33">
        <f t="shared" si="69"/>
        <v>0.39455014820228429</v>
      </c>
      <c r="N332" s="33">
        <f t="shared" si="70"/>
        <v>0.40996227563652099</v>
      </c>
      <c r="O332" s="33">
        <f t="shared" si="71"/>
        <v>0.43431490505803688</v>
      </c>
    </row>
    <row r="333" spans="1:15" x14ac:dyDescent="0.25">
      <c r="A333" s="2">
        <v>331</v>
      </c>
      <c r="B333" s="33">
        <f>TPR($B$1,$A333,dr)</f>
        <v>0.26612381361659021</v>
      </c>
      <c r="C333" s="33">
        <f>TPR($C$1,$A333,dr)</f>
        <v>0.27739714266377985</v>
      </c>
      <c r="D333" s="33">
        <f t="shared" si="60"/>
        <v>0.29056140025688926</v>
      </c>
      <c r="E333" s="33">
        <f t="shared" si="61"/>
        <v>0.29561564327609663</v>
      </c>
      <c r="F333" s="33">
        <f t="shared" si="62"/>
        <v>0.30058443749024694</v>
      </c>
      <c r="G333" s="33">
        <f t="shared" si="63"/>
        <v>0.3060846322050732</v>
      </c>
      <c r="H333" s="33">
        <f t="shared" si="64"/>
        <v>0.31210760641566981</v>
      </c>
      <c r="I333" s="33">
        <f t="shared" si="65"/>
        <v>0.32360136279820972</v>
      </c>
      <c r="J333" s="33">
        <f t="shared" si="66"/>
        <v>0.3352309064374222</v>
      </c>
      <c r="K333" s="33">
        <f t="shared" si="67"/>
        <v>0.35100747675040955</v>
      </c>
      <c r="L333" s="33">
        <f t="shared" si="68"/>
        <v>0.37442177737033189</v>
      </c>
      <c r="M333" s="33">
        <f t="shared" si="69"/>
        <v>0.39323682728338621</v>
      </c>
      <c r="N333" s="33">
        <f t="shared" si="70"/>
        <v>0.40877778210156612</v>
      </c>
      <c r="O333" s="33">
        <f t="shared" si="71"/>
        <v>0.43291446435032688</v>
      </c>
    </row>
    <row r="334" spans="1:15" x14ac:dyDescent="0.25">
      <c r="A334" s="2">
        <v>332</v>
      </c>
      <c r="B334" s="33">
        <f>TPR($B$1,$A334,dr)</f>
        <v>0.26511866339438883</v>
      </c>
      <c r="C334" s="33">
        <f>TPR($C$1,$A334,dr)</f>
        <v>0.27641397390544015</v>
      </c>
      <c r="D334" s="33">
        <f t="shared" si="60"/>
        <v>0.28962422326317916</v>
      </c>
      <c r="E334" s="33">
        <f t="shared" si="61"/>
        <v>0.2944051361617902</v>
      </c>
      <c r="F334" s="33">
        <f t="shared" si="62"/>
        <v>0.29929657177998076</v>
      </c>
      <c r="G334" s="33">
        <f t="shared" si="63"/>
        <v>0.30480822133976593</v>
      </c>
      <c r="H334" s="33">
        <f t="shared" si="64"/>
        <v>0.3108411160620021</v>
      </c>
      <c r="I334" s="33">
        <f t="shared" si="65"/>
        <v>0.32217587874964493</v>
      </c>
      <c r="J334" s="33">
        <f t="shared" si="66"/>
        <v>0.33400027481068717</v>
      </c>
      <c r="K334" s="33">
        <f t="shared" si="67"/>
        <v>0.34969783715441555</v>
      </c>
      <c r="L334" s="33">
        <f t="shared" si="68"/>
        <v>0.3730885479905634</v>
      </c>
      <c r="M334" s="33">
        <f t="shared" si="69"/>
        <v>0.39178085913548177</v>
      </c>
      <c r="N334" s="33">
        <f t="shared" si="70"/>
        <v>0.4073132920575131</v>
      </c>
      <c r="O334" s="33">
        <f t="shared" si="71"/>
        <v>0.431507960917907</v>
      </c>
    </row>
    <row r="335" spans="1:15" x14ac:dyDescent="0.25">
      <c r="A335" s="2">
        <v>333</v>
      </c>
      <c r="B335" s="33">
        <f>TPR($B$1,$A335,dr)</f>
        <v>0.26391196155060115</v>
      </c>
      <c r="C335" s="33">
        <f>TPR($C$1,$A335,dr)</f>
        <v>0.27528101225475227</v>
      </c>
      <c r="D335" s="33">
        <f t="shared" si="60"/>
        <v>0.28868504910658477</v>
      </c>
      <c r="E335" s="33">
        <f t="shared" si="61"/>
        <v>0.293192231029068</v>
      </c>
      <c r="F335" s="33">
        <f t="shared" si="62"/>
        <v>0.2980039210293165</v>
      </c>
      <c r="G335" s="33">
        <f t="shared" si="63"/>
        <v>0.30347971470029972</v>
      </c>
      <c r="H335" s="33">
        <f t="shared" si="64"/>
        <v>0.30938593325151609</v>
      </c>
      <c r="I335" s="33">
        <f t="shared" si="65"/>
        <v>0.32064748828753298</v>
      </c>
      <c r="J335" s="33">
        <f t="shared" si="66"/>
        <v>0.33257976858137905</v>
      </c>
      <c r="K335" s="33">
        <f t="shared" si="67"/>
        <v>0.34820081758854315</v>
      </c>
      <c r="L335" s="33">
        <f t="shared" si="68"/>
        <v>0.37138495521646636</v>
      </c>
      <c r="M335" s="33">
        <f t="shared" si="69"/>
        <v>0.39009211909643537</v>
      </c>
      <c r="N335" s="33">
        <f t="shared" si="70"/>
        <v>0.40556942717484573</v>
      </c>
      <c r="O335" s="33">
        <f t="shared" si="71"/>
        <v>0.42991520438177749</v>
      </c>
    </row>
    <row r="336" spans="1:15" x14ac:dyDescent="0.25">
      <c r="A336" s="2">
        <v>334</v>
      </c>
      <c r="B336" s="33">
        <f>TPR($B$1,$A336,dr)</f>
        <v>0.26270079096088617</v>
      </c>
      <c r="C336" s="33">
        <f>TPR($C$1,$A336,dr)</f>
        <v>0.27399750353385582</v>
      </c>
      <c r="D336" s="33">
        <f t="shared" si="60"/>
        <v>0.28714649858637392</v>
      </c>
      <c r="E336" s="33">
        <f t="shared" si="61"/>
        <v>0.29168925316061101</v>
      </c>
      <c r="F336" s="33">
        <f t="shared" si="62"/>
        <v>0.29651669481195214</v>
      </c>
      <c r="G336" s="33">
        <f t="shared" si="63"/>
        <v>0.30200578620583168</v>
      </c>
      <c r="H336" s="33">
        <f t="shared" si="64"/>
        <v>0.30792404313606808</v>
      </c>
      <c r="I336" s="33">
        <f t="shared" si="65"/>
        <v>0.31920548965279216</v>
      </c>
      <c r="J336" s="33">
        <f t="shared" si="66"/>
        <v>0.3311540516933496</v>
      </c>
      <c r="K336" s="33">
        <f t="shared" si="67"/>
        <v>0.34669987664567858</v>
      </c>
      <c r="L336" s="33">
        <f t="shared" si="68"/>
        <v>0.36984682703505145</v>
      </c>
      <c r="M336" s="33">
        <f t="shared" si="69"/>
        <v>0.3884433455524714</v>
      </c>
      <c r="N336" s="33">
        <f t="shared" si="70"/>
        <v>0.40391129693251793</v>
      </c>
      <c r="O336" s="33">
        <f t="shared" si="71"/>
        <v>0.42848518873539315</v>
      </c>
    </row>
    <row r="337" spans="1:15" x14ac:dyDescent="0.25">
      <c r="A337" s="2">
        <v>335</v>
      </c>
      <c r="B337" s="33">
        <f>TPR($B$1,$A337,dr)</f>
        <v>0.26168341719814081</v>
      </c>
      <c r="C337" s="33">
        <f>TPR($C$1,$A337,dr)</f>
        <v>0.27280939769695128</v>
      </c>
      <c r="D337" s="33">
        <f t="shared" si="60"/>
        <v>0.28540315675188555</v>
      </c>
      <c r="E337" s="33">
        <f t="shared" si="61"/>
        <v>0.2902748885421258</v>
      </c>
      <c r="F337" s="33">
        <f t="shared" si="62"/>
        <v>0.295120214029993</v>
      </c>
      <c r="G337" s="33">
        <f t="shared" si="63"/>
        <v>0.30052653578024002</v>
      </c>
      <c r="H337" s="33">
        <f t="shared" si="64"/>
        <v>0.30645559095264724</v>
      </c>
      <c r="I337" s="33">
        <f t="shared" si="65"/>
        <v>0.31775825385045758</v>
      </c>
      <c r="J337" s="33">
        <f t="shared" si="66"/>
        <v>0.32963127841479595</v>
      </c>
      <c r="K337" s="33">
        <f t="shared" si="67"/>
        <v>0.34512450561723279</v>
      </c>
      <c r="L337" s="33">
        <f t="shared" si="68"/>
        <v>0.36847969024094829</v>
      </c>
      <c r="M337" s="33">
        <f t="shared" si="69"/>
        <v>0.38697293470763794</v>
      </c>
      <c r="N337" s="33">
        <f t="shared" si="70"/>
        <v>0.40242995453512198</v>
      </c>
      <c r="O337" s="33">
        <f t="shared" si="71"/>
        <v>0.42686212002083357</v>
      </c>
    </row>
    <row r="338" spans="1:15" x14ac:dyDescent="0.25">
      <c r="A338" s="2">
        <v>336</v>
      </c>
      <c r="B338" s="33">
        <f>TPR($B$1,$A338,dr)</f>
        <v>0.2606621565298346</v>
      </c>
      <c r="C338" s="33">
        <f>TPR($C$1,$A338,dr)</f>
        <v>0.27166754906379437</v>
      </c>
      <c r="D338" s="33">
        <f t="shared" si="60"/>
        <v>0.28384962266147279</v>
      </c>
      <c r="E338" s="33">
        <f t="shared" si="61"/>
        <v>0.28904512263714466</v>
      </c>
      <c r="F338" s="33">
        <f t="shared" si="62"/>
        <v>0.29381682166856571</v>
      </c>
      <c r="G338" s="33">
        <f t="shared" si="63"/>
        <v>0.29904195719433463</v>
      </c>
      <c r="H338" s="33">
        <f t="shared" si="64"/>
        <v>0.30498184029495556</v>
      </c>
      <c r="I338" s="33">
        <f t="shared" si="65"/>
        <v>0.31639653479593655</v>
      </c>
      <c r="J338" s="33">
        <f t="shared" si="66"/>
        <v>0.32829030365931267</v>
      </c>
      <c r="K338" s="33">
        <f t="shared" si="67"/>
        <v>0.34372826461445843</v>
      </c>
      <c r="L338" s="33">
        <f t="shared" si="68"/>
        <v>0.36692580233493932</v>
      </c>
      <c r="M338" s="33">
        <f t="shared" si="69"/>
        <v>0.3854507988959735</v>
      </c>
      <c r="N338" s="33">
        <f t="shared" si="70"/>
        <v>0.40094300163310659</v>
      </c>
      <c r="O338" s="33">
        <f t="shared" si="71"/>
        <v>0.42523458094618882</v>
      </c>
    </row>
    <row r="339" spans="1:15" x14ac:dyDescent="0.25">
      <c r="A339" s="2">
        <v>337</v>
      </c>
      <c r="B339" s="33">
        <f>TPR($B$1,$A339,dr)</f>
        <v>0.25963700431240189</v>
      </c>
      <c r="C339" s="33">
        <f>TPR($C$1,$A339,dr)</f>
        <v>0.27061895888106952</v>
      </c>
      <c r="D339" s="33">
        <f t="shared" si="60"/>
        <v>0.28267771880679571</v>
      </c>
      <c r="E339" s="33">
        <f t="shared" si="61"/>
        <v>0.28776649550505173</v>
      </c>
      <c r="F339" s="33">
        <f t="shared" si="62"/>
        <v>0.29250647906747579</v>
      </c>
      <c r="G339" s="33">
        <f t="shared" si="63"/>
        <v>0.2977415660288274</v>
      </c>
      <c r="H339" s="33">
        <f t="shared" si="64"/>
        <v>0.30369151162743735</v>
      </c>
      <c r="I339" s="33">
        <f t="shared" si="65"/>
        <v>0.31503545458876969</v>
      </c>
      <c r="J339" s="33">
        <f t="shared" si="66"/>
        <v>0.32675931622191473</v>
      </c>
      <c r="K339" s="33">
        <f t="shared" si="67"/>
        <v>0.34214177993673511</v>
      </c>
      <c r="L339" s="33">
        <f t="shared" si="68"/>
        <v>0.36536510746827999</v>
      </c>
      <c r="M339" s="33">
        <f t="shared" si="69"/>
        <v>0.38378701317439518</v>
      </c>
      <c r="N339" s="33">
        <f t="shared" si="70"/>
        <v>0.39926695756587799</v>
      </c>
      <c r="O339" s="33">
        <f t="shared" si="71"/>
        <v>0.42359956320974562</v>
      </c>
    </row>
    <row r="340" spans="1:15" x14ac:dyDescent="0.25">
      <c r="A340" s="2">
        <v>338</v>
      </c>
      <c r="B340" s="33">
        <f>TPR($B$1,$A340,dr)</f>
        <v>0.25840879567773695</v>
      </c>
      <c r="C340" s="33">
        <f>TPR($C$1,$A340,dr)</f>
        <v>0.26941832936532284</v>
      </c>
      <c r="D340" s="33">
        <f t="shared" si="60"/>
        <v>0.28150029007770971</v>
      </c>
      <c r="E340" s="33">
        <f t="shared" si="61"/>
        <v>0.28648423453499866</v>
      </c>
      <c r="F340" s="33">
        <f t="shared" si="62"/>
        <v>0.2912837816774641</v>
      </c>
      <c r="G340" s="33">
        <f t="shared" si="63"/>
        <v>0.29658222626401448</v>
      </c>
      <c r="H340" s="33">
        <f t="shared" si="64"/>
        <v>0.302400385936342</v>
      </c>
      <c r="I340" s="33">
        <f t="shared" si="65"/>
        <v>0.31376043155959604</v>
      </c>
      <c r="J340" s="33">
        <f t="shared" si="66"/>
        <v>0.32541067009625535</v>
      </c>
      <c r="K340" s="33">
        <f t="shared" si="67"/>
        <v>0.3407349568911836</v>
      </c>
      <c r="L340" s="33">
        <f t="shared" si="68"/>
        <v>0.363620706818854</v>
      </c>
      <c r="M340" s="33">
        <f t="shared" si="69"/>
        <v>0.38206978403058545</v>
      </c>
      <c r="N340" s="33">
        <f t="shared" si="70"/>
        <v>0.39767372712940219</v>
      </c>
      <c r="O340" s="33">
        <f t="shared" si="71"/>
        <v>0.42214131601812166</v>
      </c>
    </row>
    <row r="341" spans="1:15" x14ac:dyDescent="0.25">
      <c r="A341" s="2">
        <v>339</v>
      </c>
      <c r="B341" s="33">
        <f>TPR($B$1,$A341,dr)</f>
        <v>0.25717609242585215</v>
      </c>
      <c r="C341" s="33">
        <f>TPR($C$1,$A341,dr)</f>
        <v>0.2681660191265467</v>
      </c>
      <c r="D341" s="33">
        <f t="shared" si="60"/>
        <v>0.28012652225531126</v>
      </c>
      <c r="E341" s="33">
        <f t="shared" si="61"/>
        <v>0.28528860380695786</v>
      </c>
      <c r="F341" s="33">
        <f t="shared" si="62"/>
        <v>0.29015450584527547</v>
      </c>
      <c r="G341" s="33">
        <f t="shared" si="63"/>
        <v>0.29542001849827354</v>
      </c>
      <c r="H341" s="33">
        <f t="shared" si="64"/>
        <v>0.30110620428174178</v>
      </c>
      <c r="I341" s="33">
        <f t="shared" si="65"/>
        <v>0.31248070019308966</v>
      </c>
      <c r="J341" s="33">
        <f t="shared" si="66"/>
        <v>0.32405832104168036</v>
      </c>
      <c r="K341" s="33">
        <f t="shared" si="67"/>
        <v>0.33943456932087368</v>
      </c>
      <c r="L341" s="33">
        <f t="shared" si="68"/>
        <v>0.36223843441934234</v>
      </c>
      <c r="M341" s="33">
        <f t="shared" si="69"/>
        <v>0.38057983658641947</v>
      </c>
      <c r="N341" s="33">
        <f t="shared" si="70"/>
        <v>0.3961688756456212</v>
      </c>
      <c r="O341" s="33">
        <f t="shared" si="71"/>
        <v>0.42049896764899752</v>
      </c>
    </row>
    <row r="342" spans="1:15" x14ac:dyDescent="0.25">
      <c r="A342" s="2">
        <v>340</v>
      </c>
      <c r="B342" s="33">
        <f>TPR($B$1,$A342,dr)</f>
        <v>0.25573913502319012</v>
      </c>
      <c r="C342" s="33">
        <f>TPR($C$1,$A342,dr)</f>
        <v>0.26675997617274388</v>
      </c>
      <c r="D342" s="33">
        <f t="shared" si="60"/>
        <v>0.27874576990891214</v>
      </c>
      <c r="E342" s="33">
        <f t="shared" si="61"/>
        <v>0.28408744910642642</v>
      </c>
      <c r="F342" s="33">
        <f t="shared" si="62"/>
        <v>0.28892952475597644</v>
      </c>
      <c r="G342" s="33">
        <f t="shared" si="63"/>
        <v>0.29410719202860747</v>
      </c>
      <c r="H342" s="33">
        <f t="shared" si="64"/>
        <v>0.2998033056153942</v>
      </c>
      <c r="I342" s="33">
        <f t="shared" si="65"/>
        <v>0.31119625499455184</v>
      </c>
      <c r="J342" s="33">
        <f t="shared" si="66"/>
        <v>0.32270226601578117</v>
      </c>
      <c r="K342" s="33">
        <f t="shared" si="67"/>
        <v>0.33812778549464728</v>
      </c>
      <c r="L342" s="33">
        <f t="shared" si="68"/>
        <v>0.36085241175441346</v>
      </c>
      <c r="M342" s="33">
        <f t="shared" si="69"/>
        <v>0.37922050161736676</v>
      </c>
      <c r="N342" s="33">
        <f t="shared" si="70"/>
        <v>0.39466665614053004</v>
      </c>
      <c r="O342" s="33">
        <f t="shared" si="71"/>
        <v>0.41884665728080966</v>
      </c>
    </row>
    <row r="343" spans="1:15" x14ac:dyDescent="0.25">
      <c r="A343" s="2">
        <v>341</v>
      </c>
      <c r="B343" s="33">
        <f>TPR($B$1,$A343,dr)</f>
        <v>0.25469718084269544</v>
      </c>
      <c r="C343" s="33">
        <f>TPR($C$1,$A343,dr)</f>
        <v>0.26569639861558386</v>
      </c>
      <c r="D343" s="33">
        <f t="shared" si="60"/>
        <v>0.27755841893656419</v>
      </c>
      <c r="E343" s="33">
        <f t="shared" si="61"/>
        <v>0.28279238083668984</v>
      </c>
      <c r="F343" s="33">
        <f t="shared" si="62"/>
        <v>0.28769141530410203</v>
      </c>
      <c r="G343" s="33">
        <f t="shared" si="63"/>
        <v>0.29298021765201088</v>
      </c>
      <c r="H343" s="33">
        <f t="shared" si="64"/>
        <v>0.29868548423323482</v>
      </c>
      <c r="I343" s="33">
        <f t="shared" si="65"/>
        <v>0.3099070904692845</v>
      </c>
      <c r="J343" s="33">
        <f t="shared" si="66"/>
        <v>0.32134250197614939</v>
      </c>
      <c r="K343" s="33">
        <f t="shared" si="67"/>
        <v>0.33670422412190298</v>
      </c>
      <c r="L343" s="33">
        <f t="shared" si="68"/>
        <v>0.35963732959100309</v>
      </c>
      <c r="M343" s="33">
        <f t="shared" si="69"/>
        <v>0.37790626459131793</v>
      </c>
      <c r="N343" s="33">
        <f t="shared" si="70"/>
        <v>0.39333632607038022</v>
      </c>
      <c r="O343" s="33">
        <f t="shared" si="71"/>
        <v>0.41737820955749655</v>
      </c>
    </row>
    <row r="344" spans="1:15" x14ac:dyDescent="0.25">
      <c r="A344" s="2">
        <v>342</v>
      </c>
      <c r="B344" s="33">
        <f>TPR($B$1,$A344,dr)</f>
        <v>0.253651311010759</v>
      </c>
      <c r="C344" s="33">
        <f>TPR($C$1,$A344,dr)</f>
        <v>0.26462948647945961</v>
      </c>
      <c r="D344" s="33">
        <f t="shared" si="60"/>
        <v>0.27636756016693392</v>
      </c>
      <c r="E344" s="33">
        <f t="shared" si="61"/>
        <v>0.28163418025687298</v>
      </c>
      <c r="F344" s="33">
        <f t="shared" si="62"/>
        <v>0.28654907081036052</v>
      </c>
      <c r="G344" s="33">
        <f t="shared" si="63"/>
        <v>0.29184900703945316</v>
      </c>
      <c r="H344" s="33">
        <f t="shared" si="64"/>
        <v>0.29756345017622177</v>
      </c>
      <c r="I344" s="33">
        <f t="shared" si="65"/>
        <v>0.30871674591860138</v>
      </c>
      <c r="J344" s="33">
        <f t="shared" si="66"/>
        <v>0.32006741795374732</v>
      </c>
      <c r="K344" s="33">
        <f t="shared" si="67"/>
        <v>0.33524242028354456</v>
      </c>
      <c r="L344" s="33">
        <f t="shared" si="68"/>
        <v>0.3582306980241301</v>
      </c>
      <c r="M344" s="33">
        <f t="shared" si="69"/>
        <v>0.37653729975132144</v>
      </c>
      <c r="N344" s="33">
        <f t="shared" si="70"/>
        <v>0.39208792534412845</v>
      </c>
      <c r="O344" s="33">
        <f t="shared" si="71"/>
        <v>0.41591293620942421</v>
      </c>
    </row>
    <row r="345" spans="1:15" x14ac:dyDescent="0.25">
      <c r="A345" s="2">
        <v>343</v>
      </c>
      <c r="B345" s="33">
        <f>TPR($B$1,$A345,dr)</f>
        <v>0.25240087399564637</v>
      </c>
      <c r="C345" s="33">
        <f>TPR($C$1,$A345,dr)</f>
        <v>0.26345397728644637</v>
      </c>
      <c r="D345" s="33">
        <f t="shared" si="60"/>
        <v>0.27536033606413102</v>
      </c>
      <c r="E345" s="33">
        <f t="shared" si="61"/>
        <v>0.2805253633850418</v>
      </c>
      <c r="F345" s="33">
        <f t="shared" si="62"/>
        <v>0.28540245435201073</v>
      </c>
      <c r="G345" s="33">
        <f t="shared" si="63"/>
        <v>0.29067298168184069</v>
      </c>
      <c r="H345" s="33">
        <f t="shared" si="64"/>
        <v>0.29625501804082072</v>
      </c>
      <c r="I345" s="33">
        <f t="shared" si="65"/>
        <v>0.30741932739446493</v>
      </c>
      <c r="J345" s="33">
        <f t="shared" si="66"/>
        <v>0.31887552363891009</v>
      </c>
      <c r="K345" s="33">
        <f t="shared" si="67"/>
        <v>0.3339651669989645</v>
      </c>
      <c r="L345" s="33">
        <f t="shared" si="68"/>
        <v>0.3568242078854672</v>
      </c>
      <c r="M345" s="33">
        <f t="shared" si="69"/>
        <v>0.37516321777390949</v>
      </c>
      <c r="N345" s="33">
        <f t="shared" si="70"/>
        <v>0.39074688965073628</v>
      </c>
      <c r="O345" s="33">
        <f t="shared" si="71"/>
        <v>0.41461369604157833</v>
      </c>
    </row>
    <row r="346" spans="1:15" x14ac:dyDescent="0.25">
      <c r="A346" s="2">
        <v>344</v>
      </c>
      <c r="B346" s="33">
        <f>TPR($B$1,$A346,dr)</f>
        <v>0.25134686093403824</v>
      </c>
      <c r="C346" s="33">
        <f>TPR($C$1,$A346,dr)</f>
        <v>0.26237957199952461</v>
      </c>
      <c r="D346" s="33">
        <f t="shared" si="60"/>
        <v>0.27416186092711597</v>
      </c>
      <c r="E346" s="33">
        <f t="shared" si="61"/>
        <v>0.27935914954115049</v>
      </c>
      <c r="F346" s="33">
        <f t="shared" si="62"/>
        <v>0.28416213723531331</v>
      </c>
      <c r="G346" s="33">
        <f t="shared" si="63"/>
        <v>0.28934247559261528</v>
      </c>
      <c r="H346" s="33">
        <f t="shared" si="64"/>
        <v>0.29493443627842963</v>
      </c>
      <c r="I346" s="33">
        <f t="shared" si="65"/>
        <v>0.30630652146889487</v>
      </c>
      <c r="J346" s="33">
        <f t="shared" si="66"/>
        <v>0.31769137021903221</v>
      </c>
      <c r="K346" s="33">
        <f t="shared" si="67"/>
        <v>0.33260780374764631</v>
      </c>
      <c r="L346" s="33">
        <f t="shared" si="68"/>
        <v>0.35541255776150954</v>
      </c>
      <c r="M346" s="33">
        <f t="shared" si="69"/>
        <v>0.37391782336334173</v>
      </c>
      <c r="N346" s="33">
        <f t="shared" si="70"/>
        <v>0.38950005308153945</v>
      </c>
      <c r="O346" s="33">
        <f t="shared" si="71"/>
        <v>0.41348511236616925</v>
      </c>
    </row>
    <row r="347" spans="1:15" x14ac:dyDescent="0.25">
      <c r="A347" s="2">
        <v>345</v>
      </c>
      <c r="B347" s="33">
        <f>TPR($B$1,$A347,dr)</f>
        <v>0.25008767496769457</v>
      </c>
      <c r="C347" s="33">
        <f>TPR($C$1,$A347,dr)</f>
        <v>0.26114923491144065</v>
      </c>
      <c r="D347" s="33">
        <f t="shared" si="60"/>
        <v>0.2729547619034009</v>
      </c>
      <c r="E347" s="33">
        <f t="shared" si="61"/>
        <v>0.27832813894927422</v>
      </c>
      <c r="F347" s="33">
        <f t="shared" si="62"/>
        <v>0.2831114540767985</v>
      </c>
      <c r="G347" s="33">
        <f t="shared" si="63"/>
        <v>0.28823813501613382</v>
      </c>
      <c r="H347" s="33">
        <f t="shared" si="64"/>
        <v>0.2939810574329707</v>
      </c>
      <c r="I347" s="33">
        <f t="shared" si="65"/>
        <v>0.30499990682711126</v>
      </c>
      <c r="J347" s="33">
        <f t="shared" si="66"/>
        <v>0.31648932877466562</v>
      </c>
      <c r="K347" s="33">
        <f t="shared" si="67"/>
        <v>0.33154220947317253</v>
      </c>
      <c r="L347" s="33">
        <f t="shared" si="68"/>
        <v>0.35419019524138751</v>
      </c>
      <c r="M347" s="33">
        <f t="shared" si="69"/>
        <v>0.37258573158553882</v>
      </c>
      <c r="N347" s="33">
        <f t="shared" si="70"/>
        <v>0.38806396800716136</v>
      </c>
      <c r="O347" s="33">
        <f t="shared" si="71"/>
        <v>0.41216554101724828</v>
      </c>
    </row>
    <row r="348" spans="1:15" x14ac:dyDescent="0.25">
      <c r="A348" s="2">
        <v>346</v>
      </c>
      <c r="B348" s="33">
        <f>TPR($B$1,$A348,dr)</f>
        <v>0.2488239576778527</v>
      </c>
      <c r="C348" s="33">
        <f>TPR($C$1,$A348,dr)</f>
        <v>0.25995987534677339</v>
      </c>
      <c r="D348" s="33">
        <f t="shared" si="60"/>
        <v>0.27193417393158265</v>
      </c>
      <c r="E348" s="33">
        <f t="shared" si="61"/>
        <v>0.27720849459429753</v>
      </c>
      <c r="F348" s="33">
        <f t="shared" si="62"/>
        <v>0.2820417004624724</v>
      </c>
      <c r="G348" s="33">
        <f t="shared" si="63"/>
        <v>0.28724318044191677</v>
      </c>
      <c r="H348" s="33">
        <f t="shared" si="64"/>
        <v>0.29285264191477783</v>
      </c>
      <c r="I348" s="33">
        <f t="shared" si="65"/>
        <v>0.3036885472155329</v>
      </c>
      <c r="J348" s="33">
        <f t="shared" si="66"/>
        <v>0.31519516393220065</v>
      </c>
      <c r="K348" s="33">
        <f t="shared" si="67"/>
        <v>0.33039224491314967</v>
      </c>
      <c r="L348" s="33">
        <f t="shared" si="68"/>
        <v>0.35314246739702532</v>
      </c>
      <c r="M348" s="33">
        <f t="shared" si="69"/>
        <v>0.3713028396061378</v>
      </c>
      <c r="N348" s="33">
        <f t="shared" si="70"/>
        <v>0.38670881227632314</v>
      </c>
      <c r="O348" s="33">
        <f t="shared" si="71"/>
        <v>0.4105004425649848</v>
      </c>
    </row>
    <row r="349" spans="1:15" x14ac:dyDescent="0.25">
      <c r="A349" s="2">
        <v>347</v>
      </c>
      <c r="B349" s="33">
        <f>TPR($B$1,$A349,dr)</f>
        <v>0.24755570375758079</v>
      </c>
      <c r="C349" s="33">
        <f>TPR($C$1,$A349,dr)</f>
        <v>0.25872035378711589</v>
      </c>
      <c r="D349" s="33">
        <f t="shared" si="60"/>
        <v>0.27071810758642756</v>
      </c>
      <c r="E349" s="33">
        <f t="shared" si="61"/>
        <v>0.27575186516448036</v>
      </c>
      <c r="F349" s="33">
        <f t="shared" si="62"/>
        <v>0.28066759616950232</v>
      </c>
      <c r="G349" s="33">
        <f t="shared" si="63"/>
        <v>0.28605356353231881</v>
      </c>
      <c r="H349" s="33">
        <f t="shared" si="64"/>
        <v>0.29153018414238824</v>
      </c>
      <c r="I349" s="33">
        <f t="shared" si="65"/>
        <v>0.30256261776704052</v>
      </c>
      <c r="J349" s="33">
        <f t="shared" si="66"/>
        <v>0.31391353522292964</v>
      </c>
      <c r="K349" s="33">
        <f t="shared" si="67"/>
        <v>0.32894188907432181</v>
      </c>
      <c r="L349" s="33">
        <f t="shared" si="68"/>
        <v>0.35207169205676953</v>
      </c>
      <c r="M349" s="33">
        <f t="shared" si="69"/>
        <v>0.36988432374189284</v>
      </c>
      <c r="N349" s="33">
        <f t="shared" si="70"/>
        <v>0.38524691456273547</v>
      </c>
      <c r="O349" s="33">
        <f t="shared" si="71"/>
        <v>0.40918059535088941</v>
      </c>
    </row>
    <row r="350" spans="1:15" x14ac:dyDescent="0.25">
      <c r="A350" s="2">
        <v>348</v>
      </c>
      <c r="B350" s="33">
        <f>TPR($B$1,$A350,dr)</f>
        <v>0.24648504697979859</v>
      </c>
      <c r="C350" s="33">
        <f>TPR($C$1,$A350,dr)</f>
        <v>0.25767552817818679</v>
      </c>
      <c r="D350" s="33">
        <f t="shared" si="60"/>
        <v>0.26969466942506609</v>
      </c>
      <c r="E350" s="33">
        <f t="shared" si="61"/>
        <v>0.27462607739116901</v>
      </c>
      <c r="F350" s="33">
        <f t="shared" si="62"/>
        <v>0.27941136347455509</v>
      </c>
      <c r="G350" s="33">
        <f t="shared" si="63"/>
        <v>0.2847055841476136</v>
      </c>
      <c r="H350" s="33">
        <f t="shared" si="64"/>
        <v>0.29019212455273041</v>
      </c>
      <c r="I350" s="33">
        <f t="shared" si="65"/>
        <v>0.30124203008716083</v>
      </c>
      <c r="J350" s="33">
        <f t="shared" si="66"/>
        <v>0.31252577798524256</v>
      </c>
      <c r="K350" s="33">
        <f t="shared" si="67"/>
        <v>0.32759236402625369</v>
      </c>
      <c r="L350" s="33">
        <f t="shared" si="68"/>
        <v>0.3506501865804596</v>
      </c>
      <c r="M350" s="33">
        <f t="shared" si="69"/>
        <v>0.36822246988363183</v>
      </c>
      <c r="N350" s="33">
        <f t="shared" si="70"/>
        <v>0.3837600678861568</v>
      </c>
      <c r="O350" s="33">
        <f t="shared" si="71"/>
        <v>0.40769427613020331</v>
      </c>
    </row>
    <row r="351" spans="1:15" x14ac:dyDescent="0.25">
      <c r="A351" s="2">
        <v>349</v>
      </c>
      <c r="B351" s="33">
        <f>TPR($B$1,$A351,dr)</f>
        <v>0.2454104411611287</v>
      </c>
      <c r="C351" s="33">
        <f>TPR($C$1,$A351,dr)</f>
        <v>0.25658216683058127</v>
      </c>
      <c r="D351" s="33">
        <f t="shared" si="60"/>
        <v>0.26847693300189784</v>
      </c>
      <c r="E351" s="33">
        <f t="shared" si="61"/>
        <v>0.27357797323336241</v>
      </c>
      <c r="F351" s="33">
        <f t="shared" si="62"/>
        <v>0.27834588913282038</v>
      </c>
      <c r="G351" s="33">
        <f t="shared" si="63"/>
        <v>0.28350921192798567</v>
      </c>
      <c r="H351" s="33">
        <f t="shared" si="64"/>
        <v>0.28886264328240979</v>
      </c>
      <c r="I351" s="33">
        <f t="shared" si="65"/>
        <v>0.30002866808902939</v>
      </c>
      <c r="J351" s="33">
        <f t="shared" si="66"/>
        <v>0.31130409323490232</v>
      </c>
      <c r="K351" s="33">
        <f t="shared" si="67"/>
        <v>0.32629685198280245</v>
      </c>
      <c r="L351" s="33">
        <f t="shared" si="68"/>
        <v>0.34903743263636539</v>
      </c>
      <c r="M351" s="33">
        <f t="shared" si="69"/>
        <v>0.36663403088883567</v>
      </c>
      <c r="N351" s="33">
        <f t="shared" si="70"/>
        <v>0.38219995822287856</v>
      </c>
      <c r="O351" s="33">
        <f t="shared" si="71"/>
        <v>0.4061797474788793</v>
      </c>
    </row>
    <row r="352" spans="1:15" x14ac:dyDescent="0.25">
      <c r="A352" s="2">
        <v>350</v>
      </c>
      <c r="B352" s="33">
        <f>TPR($B$1,$A352,dr)</f>
        <v>0.24433188165800587</v>
      </c>
      <c r="C352" s="33">
        <f>TPR($C$1,$A352,dr)</f>
        <v>0.25552982731783053</v>
      </c>
      <c r="D352" s="33">
        <f t="shared" si="60"/>
        <v>0.26744596466449183</v>
      </c>
      <c r="E352" s="33">
        <f t="shared" si="61"/>
        <v>0.27258288952729587</v>
      </c>
      <c r="F352" s="33">
        <f t="shared" si="62"/>
        <v>0.27736406408411546</v>
      </c>
      <c r="G352" s="33">
        <f t="shared" si="63"/>
        <v>0.28246735770312403</v>
      </c>
      <c r="H352" s="33">
        <f t="shared" si="64"/>
        <v>0.28754432899961579</v>
      </c>
      <c r="I352" s="33">
        <f t="shared" si="65"/>
        <v>0.29919499700857255</v>
      </c>
      <c r="J352" s="33">
        <f t="shared" si="66"/>
        <v>0.31028767097536497</v>
      </c>
      <c r="K352" s="33">
        <f t="shared" si="67"/>
        <v>0.32479010345803755</v>
      </c>
      <c r="L352" s="33">
        <f t="shared" si="68"/>
        <v>0.34704487204112666</v>
      </c>
      <c r="M352" s="33">
        <f t="shared" si="69"/>
        <v>0.36519261612451376</v>
      </c>
      <c r="N352" s="33">
        <f t="shared" si="70"/>
        <v>0.38059263261431492</v>
      </c>
      <c r="O352" s="33">
        <f t="shared" si="71"/>
        <v>0.40444584162615815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6X PDD</vt:lpstr>
      <vt:lpstr>6X TPRs</vt:lpstr>
      <vt:lpstr>TPR from PDD basic</vt:lpstr>
      <vt:lpstr>NPSF</vt:lpstr>
      <vt:lpstr>6X_PDD_RC</vt:lpstr>
      <vt:lpstr>TPR_from_PDD_final</vt:lpstr>
      <vt:lpstr>dr</vt:lpstr>
    </vt:vector>
  </TitlesOfParts>
  <Company>Royal Surrey County Hospital NHS Foundation Trust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Jones</dc:creator>
  <cp:lastModifiedBy>Robin Cole</cp:lastModifiedBy>
  <dcterms:created xsi:type="dcterms:W3CDTF">2016-04-12T08:47:09Z</dcterms:created>
  <dcterms:modified xsi:type="dcterms:W3CDTF">2016-05-17T09:57:10Z</dcterms:modified>
</cp:coreProperties>
</file>